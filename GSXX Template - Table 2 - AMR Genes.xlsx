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militaryhealth-my.sharepoint-mil.us/personal/emily_t_nguyen8_ctr_health_mil/Documents/Emily GEIS/"/>
    </mc:Choice>
  </mc:AlternateContent>
  <xr:revisionPtr revIDLastSave="14" documentId="13_ncr:1_{66AD293B-30B8-460C-82A1-DBE28675D314}" xr6:coauthVersionLast="47" xr6:coauthVersionMax="47" xr10:uidLastSave="{8D47B973-F029-452B-8397-E24421F8CAE4}"/>
  <bookViews>
    <workbookView xWindow="9270" yWindow="4035" windowWidth="38700" windowHeight="15285" xr2:uid="{6A2B1750-F6FC-4C9B-BD5A-F8299DA9D6F3}"/>
  </bookViews>
  <sheets>
    <sheet name="Searchable AMR Table" sheetId="3" r:id="rId1"/>
    <sheet name="Raw Data" sheetId="1" r:id="rId2"/>
  </sheets>
  <definedNames>
    <definedName name="_xlnm._FilterDatabase" localSheetId="1" hidden="1">'Raw Data'!$A$1:$W$13835</definedName>
    <definedName name="Slicer_16S_Methyltransferases">#N/A</definedName>
    <definedName name="Slicer_Carbapenemases">#N/A</definedName>
    <definedName name="Slicer_expectedPhenotype">#N/A</definedName>
    <definedName name="Slicer_Extended_Spectrum_β_Lactamases__ESBLs">#N/A</definedName>
    <definedName name="Slicer_geneSymbol">#N/A</definedName>
    <definedName name="Slicer_High_Priority">#N/A</definedName>
    <definedName name="Slicer_Hospital">#N/A</definedName>
    <definedName name="Slicer_ST">#N/A</definedName>
    <definedName name="Slicer_Virulence_Determinants">#N/A</definedName>
    <definedName name="Slicer_WGS_ID">#N/A</definedName>
  </definedNames>
  <calcPr calcId="191029"/>
  <pivotCaches>
    <pivotCache cacheId="27"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<sst xmlns="http://schemas.openxmlformats.org/spreadsheetml/2006/main" count="31" uniqueCount="27">
  <si>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sample</t>
  </si>
  <si>
    <t>sequencingRun</t>
  </si>
  <si>
    <t>source</t>
  </si>
  <si>
    <t>geneSymbol</t>
  </si>
  <si>
    <t>mrsnSuperFamily</t>
  </si>
  <si>
    <t>expectedPhenotype</t>
  </si>
  <si>
    <t>percentCoverageReferenceSequence</t>
  </si>
  <si>
    <t>percentIdentityReferenceSequence</t>
  </si>
  <si>
    <t>WGS ID</t>
  </si>
  <si>
    <t>Accession</t>
  </si>
  <si>
    <t>Grand Total</t>
  </si>
  <si>
    <t>Isolate Type</t>
  </si>
  <si>
    <t>Count of Gene</t>
  </si>
  <si>
    <t>Carbapenemases</t>
  </si>
  <si>
    <t>16S Methyltransferases</t>
  </si>
  <si>
    <t>Virulence Determinants</t>
  </si>
  <si>
    <t>ST</t>
  </si>
  <si>
    <t>qcCallFinal</t>
  </si>
  <si>
    <t>extendedAnnotation</t>
  </si>
  <si>
    <t>method</t>
  </si>
  <si>
    <t>Extended-Spectrum β-Lactamases (ESBLs)</t>
  </si>
  <si>
    <t>High Priority</t>
  </si>
  <si>
    <t xml:space="preserve"> </t>
  </si>
  <si>
    <t>contigCoverage</t>
  </si>
  <si>
    <t>row_index</t>
  </si>
  <si>
    <t>(blank)</t>
  </si>
  <si>
    <t>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</si>
</sst>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0" borderId="0" xfId="0" applyFont="1"/>
  </cellXfs>
  <cellStyles count="1">
    <cellStyle name="Normal" xfId="0" builtinId="0"/>
  </cellStyles>
  <dxfs count="70">
    <dxf>
      <font>
        <i/>
      </font>
    </dxf>
    <dxf>
      <font>
        <i/>
      </font>
    </dxf>
    <dxf>
      <font>
        <color rgb="FF7030A0"/>
      </font>
    </dxf>
    <dxf>
      <font>
        <color rgb="FF007BB8"/>
      </font>
    </dxf>
    <dxf>
      <font>
        <i val="0"/>
      </font>
    </dxf>
    <dxf>
      <font>
        <i/>
      </font>
    </dxf>
    <dxf>
      <font>
        <i/>
      </font>
    </dxf>
    <dxf>
      <font>
        <i/>
      </font>
    </dxf>
    <dxf>
      <font>
        <i/>
      </font>
    </dxf>
    <dxf>
      <font>
        <i/>
      </font>
    </dxf>
    <dxf>
      <font>
        <i/>
      </font>
    </dxf>
    <dxf>
      <font>
        <i/>
      </font>
    </dxf>
    <dxf>
      <font>
        <color rgb="FFFF0000"/>
      </font>
    </dxf>
    <dxf>
      <font>
        <color rgb="FF7030A0"/>
      </font>
    </dxf>
    <dxf>
      <font>
        <i/>
      </font>
    </dxf>
    <dxf>
      <font>
        <i/>
      </font>
    </dxf>
    <dxf>
      <font>
        <color rgb="FF7030A0"/>
      </font>
    </dxf>
    <dxf>
      <font>
        <color rgb="FF007BB8"/>
      </font>
    </dxf>
    <dxf>
      <font>
        <i val="0"/>
      </font>
    </dxf>
    <dxf>
      <font>
        <i/>
      </font>
    </dxf>
    <dxf>
      <font>
        <i/>
      </font>
    </dxf>
    <dxf>
      <font>
        <i/>
      </font>
    </dxf>
    <dxf>
      <font>
        <i/>
      </font>
    </dxf>
    <dxf>
      <font>
        <i/>
      </font>
    </dxf>
    <dxf>
      <font>
        <i/>
      </font>
    </dxf>
    <dxf>
      <font>
        <i/>
      </font>
    </dxf>
    <dxf>
      <font>
        <color rgb="FFFF0000"/>
      </font>
    </dxf>
    <dxf>
      <font>
        <color rgb="FF7030A0"/>
      </font>
    </dxf>
    <dxf>
      <font>
        <i/>
      </font>
    </dxf>
    <dxf>
      <font>
        <i/>
      </font>
    </dxf>
    <dxf>
      <font>
        <color rgb="FF7030A0"/>
      </font>
    </dxf>
    <dxf>
      <font>
        <color rgb="FF007BB8"/>
      </font>
    </dxf>
    <dxf>
      <font>
        <i val="0"/>
      </font>
    </dxf>
    <dxf>
      <font>
        <i/>
      </font>
    </dxf>
    <dxf>
      <font>
        <i/>
      </font>
    </dxf>
    <dxf>
      <font>
        <i/>
      </font>
    </dxf>
    <dxf>
      <font>
        <i/>
      </font>
    </dxf>
    <dxf>
      <font>
        <i/>
      </font>
    </dxf>
    <dxf>
      <font>
        <i/>
      </font>
    </dxf>
    <dxf>
      <font>
        <i/>
      </font>
    </dxf>
    <dxf>
      <font>
        <color rgb="FFFF0000"/>
      </font>
    </dxf>
    <dxf>
      <font>
        <color rgb="FF7030A0"/>
      </font>
    </dxf>
    <dxf>
      <font>
        <i/>
      </font>
    </dxf>
    <dxf>
      <font>
        <i/>
      </font>
    </dxf>
    <dxf>
      <font>
        <color rgb="FF7030A0"/>
      </font>
    </dxf>
    <dxf>
      <font>
        <color rgb="FF007BB8"/>
      </font>
    </dxf>
    <dxf>
      <font>
        <i val="0"/>
      </font>
    </dxf>
    <dxf>
      <font>
        <i/>
      </font>
    </dxf>
    <dxf>
      <font>
        <i/>
      </font>
    </dxf>
    <dxf>
      <font>
        <i/>
      </font>
    </dxf>
    <dxf>
      <font>
        <i/>
      </font>
    </dxf>
    <dxf>
      <font>
        <i/>
      </font>
    </dxf>
    <dxf>
      <font>
        <i/>
      </font>
    </dxf>
    <dxf>
      <font>
        <i/>
      </font>
    </dxf>
    <dxf>
      <font>
        <color rgb="FFFF0000"/>
      </font>
    </dxf>
    <dxf>
      <font>
        <color rgb="FF7030A0"/>
      </font>
    </dxf>
    <dxf>
      <font>
        <i/>
      </font>
    </dxf>
    <dxf>
      <font>
        <i/>
      </font>
    </dxf>
    <dxf>
      <font>
        <color rgb="FF7030A0"/>
      </font>
    </dxf>
    <dxf>
      <font>
        <color rgb="FF007BB8"/>
      </font>
    </dxf>
    <dxf>
      <font>
        <i val="0"/>
      </font>
    </dxf>
    <dxf>
      <font>
        <i/>
      </font>
    </dxf>
    <dxf>
      <font>
        <i/>
      </font>
    </dxf>
    <dxf>
      <font>
        <i/>
      </font>
    </dxf>
    <dxf>
      <font>
        <i/>
      </font>
    </dxf>
    <dxf>
      <font>
        <i/>
      </font>
    </dxf>
    <dxf>
      <font>
        <i/>
      </font>
    </dxf>
    <dxf>
      <font>
        <i/>
      </font>
    </dxf>
    <dxf>
      <font>
        <color rgb="FFFF0000"/>
      </font>
    </dxf>
    <dxf>
      <font>
        <color rgb="FF7030A0"/>
      </fon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07/relationships/slicerCache" Target="slicerCaches/slicerCache9.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styles" Target="styles.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211595</xdr:colOff>
      <xdr:row>0</xdr:row>
      <xdr:rowOff>175575</xdr:rowOff>
    </xdr:from>
    <xdr:to>
      <xdr:col>3</xdr:col>
      <xdr:colOff>34133</xdr:colOff>
      <xdr:row>14</xdr:row>
      <xdr:rowOff>117155</xdr:rowOff>
    </xdr:to>
    <mc:AlternateContent xmlns:mc="http://schemas.openxmlformats.org/markup-compatibility/2006" xmlns:a14="http://schemas.microsoft.com/office/drawing/2010/main">
      <mc:Choice Requires="a14">
        <xdr:graphicFrame macro="">
          <xdr:nvGraphicFramePr>
            <xdr:cNvPr id="2" name="WGS ID">
              <a:extLst>
                <a:ext uri="{FF2B5EF4-FFF2-40B4-BE49-F238E27FC236}">
                  <a16:creationId xmlns:a16="http://schemas.microsoft.com/office/drawing/2014/main" id="{3DFB7915-B54B-89D4-2D60-6CEB74A78C23}"/>
                </a:ext>
              </a:extLst>
            </xdr:cNvPr>
            <xdr:cNvGraphicFramePr/>
          </xdr:nvGraphicFramePr>
          <xdr:xfrm>
            <a:off x="0" y="0"/>
            <a:ext cx="0" cy="0"/>
          </xdr:xfrm>
          <a:graphic>
            <a:graphicData uri="http://schemas.microsoft.com/office/drawing/2010/slicer">
              <sle:slicer xmlns:sle="http://schemas.microsoft.com/office/drawing/2010/slicer" name="WGS ID"/>
            </a:graphicData>
          </a:graphic>
        </xdr:graphicFrame>
      </mc:Choice>
      <mc:Fallback xmlns="">
        <xdr:sp macro="" textlink="">
          <xdr:nvSpPr>
            <xdr:cNvPr id="0" name=""/>
            <xdr:cNvSpPr>
              <a:spLocks noTextEdit="1"/>
            </xdr:cNvSpPr>
          </xdr:nvSpPr>
          <xdr:spPr>
            <a:xfrm>
              <a:off x="205245" y="174305"/>
              <a:ext cx="2640353" cy="260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36</xdr:col>
      <xdr:colOff>241610</xdr:colOff>
      <xdr:row>0</xdr:row>
      <xdr:rowOff>174765</xdr:rowOff>
    </xdr:from>
    <xdr:to>
      <xdr:col>45</xdr:col>
      <xdr:colOff>571801</xdr:colOff>
      <xdr:row>14</xdr:row>
      <xdr:rowOff>136665</xdr:rowOff>
    </xdr:to>
    <mc:AlternateContent xmlns:mc="http://schemas.openxmlformats.org/markup-compatibility/2006" xmlns:a14="http://schemas.microsoft.com/office/drawing/2010/main">
      <mc:Choice Requires="a14">
        <xdr:graphicFrame macro="">
          <xdr:nvGraphicFramePr>
            <xdr:cNvPr id="6" name="All Expected Phenotype">
              <a:extLst>
                <a:ext uri="{FF2B5EF4-FFF2-40B4-BE49-F238E27FC236}">
                  <a16:creationId xmlns:a16="http://schemas.microsoft.com/office/drawing/2014/main" id="{3C883857-F658-9096-31E1-DEF3C3A52976}"/>
                </a:ext>
              </a:extLst>
            </xdr:cNvPr>
            <xdr:cNvGraphicFramePr/>
          </xdr:nvGraphicFramePr>
          <xdr:xfrm>
            <a:off x="0" y="0"/>
            <a:ext cx="0" cy="0"/>
          </xdr:xfrm>
          <a:graphic>
            <a:graphicData uri="http://schemas.microsoft.com/office/drawing/2010/slicer">
              <sle:slicer xmlns:sle="http://schemas.microsoft.com/office/drawing/2010/slicer" name="All Expected Phenotype"/>
            </a:graphicData>
          </a:graphic>
        </xdr:graphicFrame>
      </mc:Choice>
      <mc:Fallback xmlns="">
        <xdr:sp macro="" textlink="">
          <xdr:nvSpPr>
            <xdr:cNvPr id="0" name=""/>
            <xdr:cNvSpPr>
              <a:spLocks noTextEdit="1"/>
            </xdr:cNvSpPr>
          </xdr:nvSpPr>
          <xdr:spPr>
            <a:xfrm>
              <a:off x="24420094" y="172225"/>
              <a:ext cx="5472645" cy="252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343797</xdr:colOff>
      <xdr:row>0</xdr:row>
      <xdr:rowOff>173574</xdr:rowOff>
    </xdr:from>
    <xdr:to>
      <xdr:col>13</xdr:col>
      <xdr:colOff>160340</xdr:colOff>
      <xdr:row>14</xdr:row>
      <xdr:rowOff>134046</xdr:rowOff>
    </xdr:to>
    <mc:AlternateContent xmlns:mc="http://schemas.openxmlformats.org/markup-compatibility/2006" xmlns:a14="http://schemas.microsoft.com/office/drawing/2010/main">
      <mc:Choice Requires="a14">
        <xdr:graphicFrame macro="">
          <xdr:nvGraphicFramePr>
            <xdr:cNvPr id="7" name="High Priority">
              <a:extLst>
                <a:ext uri="{FF2B5EF4-FFF2-40B4-BE49-F238E27FC236}">
                  <a16:creationId xmlns:a16="http://schemas.microsoft.com/office/drawing/2014/main" id="{928CE9BA-D1A9-75B8-B594-8EAC2A25B676}"/>
                </a:ext>
              </a:extLst>
            </xdr:cNvPr>
            <xdr:cNvGraphicFramePr/>
          </xdr:nvGraphicFramePr>
          <xdr:xfrm>
            <a:off x="0" y="0"/>
            <a:ext cx="0" cy="0"/>
          </xdr:xfrm>
          <a:graphic>
            <a:graphicData uri="http://schemas.microsoft.com/office/drawing/2010/slicer">
              <sle:slicer xmlns:sle="http://schemas.microsoft.com/office/drawing/2010/slicer" name="High Priority"/>
            </a:graphicData>
          </a:graphic>
        </xdr:graphicFrame>
      </mc:Choice>
      <mc:Fallback xmlns="">
        <xdr:sp macro="" textlink="">
          <xdr:nvSpPr>
            <xdr:cNvPr id="0" name=""/>
            <xdr:cNvSpPr>
              <a:spLocks noTextEdit="1"/>
            </xdr:cNvSpPr>
          </xdr:nvSpPr>
          <xdr:spPr>
            <a:xfrm>
              <a:off x="7720106" y="177384"/>
              <a:ext cx="1879994" cy="2520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873092</xdr:colOff>
      <xdr:row>1</xdr:row>
      <xdr:rowOff>25454</xdr:rowOff>
    </xdr:from>
    <xdr:to>
      <xdr:col>19</xdr:col>
      <xdr:colOff>434486</xdr:colOff>
      <xdr:row>14</xdr:row>
      <xdr:rowOff>135078</xdr:rowOff>
    </xdr:to>
    <mc:AlternateContent xmlns:mc="http://schemas.openxmlformats.org/markup-compatibility/2006" xmlns:a14="http://schemas.microsoft.com/office/drawing/2010/main">
      <mc:Choice Requires="a14">
        <xdr:graphicFrame macro="">
          <xdr:nvGraphicFramePr>
            <xdr:cNvPr id="4" name="Carbapenemases">
              <a:extLst>
                <a:ext uri="{FF2B5EF4-FFF2-40B4-BE49-F238E27FC236}">
                  <a16:creationId xmlns:a16="http://schemas.microsoft.com/office/drawing/2014/main" id="{047DA7F3-91DC-5597-FF9E-C699D2957FB8}"/>
                </a:ext>
              </a:extLst>
            </xdr:cNvPr>
            <xdr:cNvGraphicFramePr/>
          </xdr:nvGraphicFramePr>
          <xdr:xfrm>
            <a:off x="0" y="0"/>
            <a:ext cx="0" cy="0"/>
          </xdr:xfrm>
          <a:graphic>
            <a:graphicData uri="http://schemas.microsoft.com/office/drawing/2010/slicer">
              <sle:slicer xmlns:sle="http://schemas.microsoft.com/office/drawing/2010/slicer" name="Carbapenemases"/>
            </a:graphicData>
          </a:graphic>
        </xdr:graphicFrame>
      </mc:Choice>
      <mc:Fallback xmlns="">
        <xdr:sp macro="" textlink="">
          <xdr:nvSpPr>
            <xdr:cNvPr id="0" name=""/>
            <xdr:cNvSpPr>
              <a:spLocks noTextEdit="1"/>
            </xdr:cNvSpPr>
          </xdr:nvSpPr>
          <xdr:spPr>
            <a:xfrm>
              <a:off x="12678713" y="205794"/>
              <a:ext cx="2041256" cy="2493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107281</xdr:colOff>
      <xdr:row>1</xdr:row>
      <xdr:rowOff>22914</xdr:rowOff>
    </xdr:from>
    <xdr:to>
      <xdr:col>27</xdr:col>
      <xdr:colOff>115098</xdr:colOff>
      <xdr:row>14</xdr:row>
      <xdr:rowOff>102058</xdr:rowOff>
    </xdr:to>
    <mc:AlternateContent xmlns:mc="http://schemas.openxmlformats.org/markup-compatibility/2006" xmlns:a14="http://schemas.microsoft.com/office/drawing/2010/main">
      <mc:Choice Requires="a14">
        <xdr:graphicFrame macro="">
          <xdr:nvGraphicFramePr>
            <xdr:cNvPr id="8" name="Extended-Spectrum β-Lactamases (ESBLs)">
              <a:extLst>
                <a:ext uri="{FF2B5EF4-FFF2-40B4-BE49-F238E27FC236}">
                  <a16:creationId xmlns:a16="http://schemas.microsoft.com/office/drawing/2014/main" id="{832623CA-3329-113B-3F80-37B6ED9B8DE6}"/>
                </a:ext>
              </a:extLst>
            </xdr:cNvPr>
            <xdr:cNvGraphicFramePr/>
          </xdr:nvGraphicFramePr>
          <xdr:xfrm>
            <a:off x="0" y="0"/>
            <a:ext cx="0" cy="0"/>
          </xdr:xfrm>
          <a:graphic>
            <a:graphicData uri="http://schemas.microsoft.com/office/drawing/2010/slicer">
              <sle:slicer xmlns:sle="http://schemas.microsoft.com/office/drawing/2010/slicer" name="Extended-Spectrum β-Lactamases (ESBLs)"/>
            </a:graphicData>
          </a:graphic>
        </xdr:graphicFrame>
      </mc:Choice>
      <mc:Fallback xmlns="">
        <xdr:sp macro="" textlink="">
          <xdr:nvSpPr>
            <xdr:cNvPr id="0" name=""/>
            <xdr:cNvSpPr>
              <a:spLocks noTextEdit="1"/>
            </xdr:cNvSpPr>
          </xdr:nvSpPr>
          <xdr:spPr>
            <a:xfrm>
              <a:off x="14875887" y="203254"/>
              <a:ext cx="3577937" cy="2456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27</xdr:col>
      <xdr:colOff>384851</xdr:colOff>
      <xdr:row>1</xdr:row>
      <xdr:rowOff>20056</xdr:rowOff>
    </xdr:from>
    <xdr:to>
      <xdr:col>32</xdr:col>
      <xdr:colOff>118665</xdr:colOff>
      <xdr:row>14</xdr:row>
      <xdr:rowOff>101105</xdr:rowOff>
    </xdr:to>
    <mc:AlternateContent xmlns:mc="http://schemas.openxmlformats.org/markup-compatibility/2006" xmlns:a14="http://schemas.microsoft.com/office/drawing/2010/main">
      <mc:Choice Requires="a14">
        <xdr:graphicFrame macro="">
          <xdr:nvGraphicFramePr>
            <xdr:cNvPr id="9" name="16S Methyltransferases">
              <a:extLst>
                <a:ext uri="{FF2B5EF4-FFF2-40B4-BE49-F238E27FC236}">
                  <a16:creationId xmlns:a16="http://schemas.microsoft.com/office/drawing/2014/main" id="{3803B228-29B3-88F7-DA7A-6CDA76E1E6F8}"/>
                </a:ext>
              </a:extLst>
            </xdr:cNvPr>
            <xdr:cNvGraphicFramePr/>
          </xdr:nvGraphicFramePr>
          <xdr:xfrm>
            <a:off x="0" y="0"/>
            <a:ext cx="0" cy="0"/>
          </xdr:xfrm>
          <a:graphic>
            <a:graphicData uri="http://schemas.microsoft.com/office/drawing/2010/slicer">
              <sle:slicer xmlns:sle="http://schemas.microsoft.com/office/drawing/2010/slicer" name="16S Methyltransferases"/>
            </a:graphicData>
          </a:graphic>
        </xdr:graphicFrame>
      </mc:Choice>
      <mc:Fallback xmlns="">
        <xdr:sp macro="" textlink="">
          <xdr:nvSpPr>
            <xdr:cNvPr id="0" name=""/>
            <xdr:cNvSpPr>
              <a:spLocks noTextEdit="1"/>
            </xdr:cNvSpPr>
          </xdr:nvSpPr>
          <xdr:spPr>
            <a:xfrm>
              <a:off x="18757643" y="206746"/>
              <a:ext cx="2656084" cy="2452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32</xdr:col>
      <xdr:colOff>325503</xdr:colOff>
      <xdr:row>0</xdr:row>
      <xdr:rowOff>175718</xdr:rowOff>
    </xdr:from>
    <xdr:to>
      <xdr:col>36</xdr:col>
      <xdr:colOff>25499</xdr:colOff>
      <xdr:row>14</xdr:row>
      <xdr:rowOff>134443</xdr:rowOff>
    </xdr:to>
    <mc:AlternateContent xmlns:mc="http://schemas.openxmlformats.org/markup-compatibility/2006" xmlns:a14="http://schemas.microsoft.com/office/drawing/2010/main">
      <mc:Choice Requires="a14">
        <xdr:graphicFrame macro="">
          <xdr:nvGraphicFramePr>
            <xdr:cNvPr id="10" name="Virulence Determinants">
              <a:extLst>
                <a:ext uri="{FF2B5EF4-FFF2-40B4-BE49-F238E27FC236}">
                  <a16:creationId xmlns:a16="http://schemas.microsoft.com/office/drawing/2014/main" id="{0EB30952-70E6-9515-78E8-7BBB5DE3E1A3}"/>
                </a:ext>
              </a:extLst>
            </xdr:cNvPr>
            <xdr:cNvGraphicFramePr/>
          </xdr:nvGraphicFramePr>
          <xdr:xfrm>
            <a:off x="0" y="0"/>
            <a:ext cx="0" cy="0"/>
          </xdr:xfrm>
          <a:graphic>
            <a:graphicData uri="http://schemas.microsoft.com/office/drawing/2010/slicer">
              <sle:slicer xmlns:sle="http://schemas.microsoft.com/office/drawing/2010/slicer" name="Virulence Determinants"/>
            </a:graphicData>
          </a:graphic>
        </xdr:graphicFrame>
      </mc:Choice>
      <mc:Fallback xmlns="">
        <xdr:sp macro="" textlink="">
          <xdr:nvSpPr>
            <xdr:cNvPr id="0" name=""/>
            <xdr:cNvSpPr>
              <a:spLocks noTextEdit="1"/>
            </xdr:cNvSpPr>
          </xdr:nvSpPr>
          <xdr:spPr>
            <a:xfrm>
              <a:off x="21637673" y="173178"/>
              <a:ext cx="2595594" cy="2525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149659</xdr:colOff>
      <xdr:row>0</xdr:row>
      <xdr:rowOff>176919</xdr:rowOff>
    </xdr:from>
    <xdr:to>
      <xdr:col>10</xdr:col>
      <xdr:colOff>240435</xdr:colOff>
      <xdr:row>14</xdr:row>
      <xdr:rowOff>134512</xdr:rowOff>
    </xdr:to>
    <mc:AlternateContent xmlns:mc="http://schemas.openxmlformats.org/markup-compatibility/2006" xmlns:a14="http://schemas.microsoft.com/office/drawing/2010/main">
      <mc:Choice Requires="a14">
        <xdr:graphicFrame macro="">
          <xdr:nvGraphicFramePr>
            <xdr:cNvPr id="11" name="MLST">
              <a:extLst>
                <a:ext uri="{FF2B5EF4-FFF2-40B4-BE49-F238E27FC236}">
                  <a16:creationId xmlns:a16="http://schemas.microsoft.com/office/drawing/2014/main" id="{FF9BD0B8-C8A1-8B8F-AC9A-9D9C60C8412B}"/>
                </a:ext>
              </a:extLst>
            </xdr:cNvPr>
            <xdr:cNvGraphicFramePr/>
          </xdr:nvGraphicFramePr>
          <xdr:xfrm>
            <a:off x="0" y="0"/>
            <a:ext cx="0" cy="0"/>
          </xdr:xfrm>
          <a:graphic>
            <a:graphicData uri="http://schemas.microsoft.com/office/drawing/2010/slicer">
              <sle:slicer xmlns:sle="http://schemas.microsoft.com/office/drawing/2010/slicer" name="MLST"/>
            </a:graphicData>
          </a:graphic>
        </xdr:graphicFrame>
      </mc:Choice>
      <mc:Fallback xmlns="">
        <xdr:sp macro="" textlink="">
          <xdr:nvSpPr>
            <xdr:cNvPr id="0" name=""/>
            <xdr:cNvSpPr>
              <a:spLocks noTextEdit="1"/>
            </xdr:cNvSpPr>
          </xdr:nvSpPr>
          <xdr:spPr>
            <a:xfrm>
              <a:off x="5454898" y="174379"/>
              <a:ext cx="2149445" cy="2524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392575</xdr:colOff>
      <xdr:row>1</xdr:row>
      <xdr:rowOff>24764</xdr:rowOff>
    </xdr:from>
    <xdr:to>
      <xdr:col>16</xdr:col>
      <xdr:colOff>773703</xdr:colOff>
      <xdr:row>14</xdr:row>
      <xdr:rowOff>134388</xdr:rowOff>
    </xdr:to>
    <mc:AlternateContent xmlns:mc="http://schemas.openxmlformats.org/markup-compatibility/2006" xmlns:a14="http://schemas.microsoft.com/office/drawing/2010/main">
      <mc:Choice Requires="a14">
        <xdr:graphicFrame macro="">
          <xdr:nvGraphicFramePr>
            <xdr:cNvPr id="12" name="All AMR/Virulence Genes">
              <a:extLst>
                <a:ext uri="{FF2B5EF4-FFF2-40B4-BE49-F238E27FC236}">
                  <a16:creationId xmlns:a16="http://schemas.microsoft.com/office/drawing/2014/main" id="{506E94DA-F388-1CE8-6573-679A5B1D7096}"/>
                </a:ext>
              </a:extLst>
            </xdr:cNvPr>
            <xdr:cNvGraphicFramePr/>
          </xdr:nvGraphicFramePr>
          <xdr:xfrm>
            <a:off x="0" y="0"/>
            <a:ext cx="0" cy="0"/>
          </xdr:xfrm>
          <a:graphic>
            <a:graphicData uri="http://schemas.microsoft.com/office/drawing/2010/slicer">
              <sle:slicer xmlns:sle="http://schemas.microsoft.com/office/drawing/2010/slicer" name="All AMR/Virulence Genes"/>
            </a:graphicData>
          </a:graphic>
        </xdr:graphicFrame>
      </mc:Choice>
      <mc:Fallback xmlns="">
        <xdr:sp macro="" textlink="">
          <xdr:nvSpPr>
            <xdr:cNvPr id="0" name=""/>
            <xdr:cNvSpPr>
              <a:spLocks noTextEdit="1"/>
            </xdr:cNvSpPr>
          </xdr:nvSpPr>
          <xdr:spPr>
            <a:xfrm>
              <a:off x="9827255" y="205104"/>
              <a:ext cx="2701867" cy="2493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169769</xdr:colOff>
      <xdr:row>0</xdr:row>
      <xdr:rowOff>176492</xdr:rowOff>
    </xdr:from>
    <xdr:to>
      <xdr:col>6</xdr:col>
      <xdr:colOff>425823</xdr:colOff>
      <xdr:row>14</xdr:row>
      <xdr:rowOff>112059</xdr:rowOff>
    </xdr:to>
    <mc:AlternateContent xmlns:mc="http://schemas.openxmlformats.org/markup-compatibility/2006">
      <mc:Choice xmlns:a14="http://schemas.microsoft.com/office/drawing/2010/main" Requires="a14">
        <xdr:graphicFrame macro="">
          <xdr:nvGraphicFramePr>
            <xdr:cNvPr id="5" name="Hospital">
              <a:extLst>
                <a:ext uri="{FF2B5EF4-FFF2-40B4-BE49-F238E27FC236}">
                  <a16:creationId xmlns:a16="http://schemas.microsoft.com/office/drawing/2014/main" id="{A1098B8A-943A-2AF3-1EA3-BA42B1A961A1}"/>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2937622" y="176492"/>
              <a:ext cx="2161054" cy="2602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Emily T CTR (USA)" refreshedDate="46198.638985069447" createdVersion="8" refreshedVersion="8" minRefreshableVersion="3" recordCount="1" xr:uid="{D76B8861-7F2B-476F-B1D0-BC1FD6995B27}">
  <cacheSource type="worksheet">
    <worksheetSource ref="A1:V5588" sheet="Raw Data"/>
  </cacheSource>
  <cacheFields count="22">
    <cacheField name="sample" numFmtId="0">
      <sharedItems containsNonDate="0" containsString="0" containsBlank="1" containsNumber="1" containsInteger="1" minValue="181182" maxValue="181662" count="481">
        <m/>
        <n v="181182" u="1"/>
        <n v="181183" u="1"/>
        <n v="181184" u="1"/>
        <n v="181185" u="1"/>
        <n v="181186" u="1"/>
        <n v="181187" u="1"/>
        <n v="181188" u="1"/>
        <n v="181189" u="1"/>
        <n v="181190" u="1"/>
        <n v="181191" u="1"/>
        <n v="181192" u="1"/>
        <n v="181193" u="1"/>
        <n v="181194" u="1"/>
        <n v="181195" u="1"/>
        <n v="181196" u="1"/>
        <n v="181197" u="1"/>
        <n v="181198" u="1"/>
        <n v="181199" u="1"/>
        <n v="181200" u="1"/>
        <n v="181201" u="1"/>
        <n v="181202" u="1"/>
        <n v="181203" u="1"/>
        <n v="181204" u="1"/>
        <n v="181205" u="1"/>
        <n v="181206" u="1"/>
        <n v="181207" u="1"/>
        <n v="181208" u="1"/>
        <n v="181209" u="1"/>
        <n v="181210" u="1"/>
        <n v="181211" u="1"/>
        <n v="181212" u="1"/>
        <n v="181213" u="1"/>
        <n v="181214" u="1"/>
        <n v="181215" u="1"/>
        <n v="181216" u="1"/>
        <n v="181217" u="1"/>
        <n v="181218" u="1"/>
        <n v="181219" u="1"/>
        <n v="181220" u="1"/>
        <n v="181221" u="1"/>
        <n v="181222" u="1"/>
        <n v="181223" u="1"/>
        <n v="181224" u="1"/>
        <n v="181225" u="1"/>
        <n v="181226" u="1"/>
        <n v="181227" u="1"/>
        <n v="181228" u="1"/>
        <n v="181229" u="1"/>
        <n v="181230" u="1"/>
        <n v="181231" u="1"/>
        <n v="181232" u="1"/>
        <n v="181233" u="1"/>
        <n v="181234" u="1"/>
        <n v="181235" u="1"/>
        <n v="181236" u="1"/>
        <n v="181237" u="1"/>
        <n v="181238" u="1"/>
        <n v="181239" u="1"/>
        <n v="181240" u="1"/>
        <n v="181241" u="1"/>
        <n v="181242" u="1"/>
        <n v="181243" u="1"/>
        <n v="181244" u="1"/>
        <n v="181245" u="1"/>
        <n v="181246" u="1"/>
        <n v="181247" u="1"/>
        <n v="181248" u="1"/>
        <n v="181249" u="1"/>
        <n v="181250" u="1"/>
        <n v="181251" u="1"/>
        <n v="181252" u="1"/>
        <n v="181253" u="1"/>
        <n v="181254" u="1"/>
        <n v="181255" u="1"/>
        <n v="181256" u="1"/>
        <n v="181257" u="1"/>
        <n v="181258" u="1"/>
        <n v="181259" u="1"/>
        <n v="181260" u="1"/>
        <n v="181261" u="1"/>
        <n v="181262" u="1"/>
        <n v="181263" u="1"/>
        <n v="181264" u="1"/>
        <n v="181265" u="1"/>
        <n v="181266" u="1"/>
        <n v="181267" u="1"/>
        <n v="181268" u="1"/>
        <n v="181269" u="1"/>
        <n v="181270" u="1"/>
        <n v="181271" u="1"/>
        <n v="181272" u="1"/>
        <n v="181273" u="1"/>
        <n v="181274" u="1"/>
        <n v="181275" u="1"/>
        <n v="181276" u="1"/>
        <n v="181277" u="1"/>
        <n v="181278" u="1"/>
        <n v="181279" u="1"/>
        <n v="181280" u="1"/>
        <n v="181281" u="1"/>
        <n v="181282" u="1"/>
        <n v="181283" u="1"/>
        <n v="181284" u="1"/>
        <n v="181285" u="1"/>
        <n v="181286" u="1"/>
        <n v="181287" u="1"/>
        <n v="181288" u="1"/>
        <n v="181289" u="1"/>
        <n v="181290" u="1"/>
        <n v="181291" u="1"/>
        <n v="181292" u="1"/>
        <n v="181293" u="1"/>
        <n v="181294" u="1"/>
        <n v="181295" u="1"/>
        <n v="181296" u="1"/>
        <n v="181297" u="1"/>
        <n v="181298" u="1"/>
        <n v="181299" u="1"/>
        <n v="181300" u="1"/>
        <n v="181301" u="1"/>
        <n v="181302" u="1"/>
        <n v="181303" u="1"/>
        <n v="181304" u="1"/>
        <n v="181305" u="1"/>
        <n v="181306" u="1"/>
        <n v="181307" u="1"/>
        <n v="181308" u="1"/>
        <n v="181309" u="1"/>
        <n v="181310" u="1"/>
        <n v="181311" u="1"/>
        <n v="181312" u="1"/>
        <n v="181313" u="1"/>
        <n v="181314" u="1"/>
        <n v="181315" u="1"/>
        <n v="181316" u="1"/>
        <n v="181317" u="1"/>
        <n v="181318" u="1"/>
        <n v="181319" u="1"/>
        <n v="181320" u="1"/>
        <n v="181321" u="1"/>
        <n v="181322" u="1"/>
        <n v="181323" u="1"/>
        <n v="181324" u="1"/>
        <n v="181325" u="1"/>
        <n v="181326" u="1"/>
        <n v="181327" u="1"/>
        <n v="181328" u="1"/>
        <n v="181329" u="1"/>
        <n v="181330" u="1"/>
        <n v="181331" u="1"/>
        <n v="181332" u="1"/>
        <n v="181333" u="1"/>
        <n v="181334" u="1"/>
        <n v="181335" u="1"/>
        <n v="181336" u="1"/>
        <n v="181337" u="1"/>
        <n v="181338" u="1"/>
        <n v="181339" u="1"/>
        <n v="181340" u="1"/>
        <n v="181341" u="1"/>
        <n v="181342" u="1"/>
        <n v="181343" u="1"/>
        <n v="181344" u="1"/>
        <n v="181345" u="1"/>
        <n v="181346" u="1"/>
        <n v="181347" u="1"/>
        <n v="181348" u="1"/>
        <n v="181349" u="1"/>
        <n v="181350" u="1"/>
        <n v="181351" u="1"/>
        <n v="181352" u="1"/>
        <n v="181353" u="1"/>
        <n v="181354" u="1"/>
        <n v="181355" u="1"/>
        <n v="181356" u="1"/>
        <n v="181357" u="1"/>
        <n v="181358" u="1"/>
        <n v="181359" u="1"/>
        <n v="181360" u="1"/>
        <n v="181361" u="1"/>
        <n v="181362" u="1"/>
        <n v="181363" u="1"/>
        <n v="181364" u="1"/>
        <n v="181365" u="1"/>
        <n v="181366" u="1"/>
        <n v="181367" u="1"/>
        <n v="181368" u="1"/>
        <n v="181369" u="1"/>
        <n v="181370" u="1"/>
        <n v="181371" u="1"/>
        <n v="181372" u="1"/>
        <n v="181373" u="1"/>
        <n v="181374" u="1"/>
        <n v="181375" u="1"/>
        <n v="181376" u="1"/>
        <n v="181377" u="1"/>
        <n v="181378" u="1"/>
        <n v="181379" u="1"/>
        <n v="181380" u="1"/>
        <n v="181381" u="1"/>
        <n v="181382" u="1"/>
        <n v="181383" u="1"/>
        <n v="181384" u="1"/>
        <n v="181385" u="1"/>
        <n v="181386" u="1"/>
        <n v="181387" u="1"/>
        <n v="181388" u="1"/>
        <n v="181389" u="1"/>
        <n v="181390" u="1"/>
        <n v="181391" u="1"/>
        <n v="181392" u="1"/>
        <n v="181393" u="1"/>
        <n v="181394" u="1"/>
        <n v="181395" u="1"/>
        <n v="181396" u="1"/>
        <n v="181397" u="1"/>
        <n v="181398" u="1"/>
        <n v="181399" u="1"/>
        <n v="181400" u="1"/>
        <n v="181401" u="1"/>
        <n v="181402" u="1"/>
        <n v="181403" u="1"/>
        <n v="181404" u="1"/>
        <n v="181405" u="1"/>
        <n v="181406" u="1"/>
        <n v="181407" u="1"/>
        <n v="181408" u="1"/>
        <n v="181409" u="1"/>
        <n v="181410" u="1"/>
        <n v="181411" u="1"/>
        <n v="181412" u="1"/>
        <n v="181413" u="1"/>
        <n v="181414" u="1"/>
        <n v="181415" u="1"/>
        <n v="181416" u="1"/>
        <n v="181417" u="1"/>
        <n v="181418" u="1"/>
        <n v="181419" u="1"/>
        <n v="181420" u="1"/>
        <n v="181421" u="1"/>
        <n v="181422" u="1"/>
        <n v="181423" u="1"/>
        <n v="181424" u="1"/>
        <n v="181425" u="1"/>
        <n v="181426" u="1"/>
        <n v="181427" u="1"/>
        <n v="181428" u="1"/>
        <n v="181429" u="1"/>
        <n v="181430" u="1"/>
        <n v="181431" u="1"/>
        <n v="181432" u="1"/>
        <n v="181433" u="1"/>
        <n v="181434" u="1"/>
        <n v="181435" u="1"/>
        <n v="181436" u="1"/>
        <n v="181437" u="1"/>
        <n v="181438" u="1"/>
        <n v="181439" u="1"/>
        <n v="181440" u="1"/>
        <n v="181441" u="1"/>
        <n v="181442" u="1"/>
        <n v="181443" u="1"/>
        <n v="181444" u="1"/>
        <n v="181445" u="1"/>
        <n v="181446" u="1"/>
        <n v="181447" u="1"/>
        <n v="181448" u="1"/>
        <n v="181449" u="1"/>
        <n v="181450" u="1"/>
        <n v="181451" u="1"/>
        <n v="181452" u="1"/>
        <n v="181453" u="1"/>
        <n v="181454" u="1"/>
        <n v="181455" u="1"/>
        <n v="181456" u="1"/>
        <n v="181457" u="1"/>
        <n v="181458" u="1"/>
        <n v="181459" u="1"/>
        <n v="181460" u="1"/>
        <n v="181461" u="1"/>
        <n v="181462" u="1"/>
        <n v="181463" u="1"/>
        <n v="181464" u="1"/>
        <n v="181465" u="1"/>
        <n v="181466" u="1"/>
        <n v="181467" u="1"/>
        <n v="181468" u="1"/>
        <n v="181469" u="1"/>
        <n v="181470" u="1"/>
        <n v="181471" u="1"/>
        <n v="181472" u="1"/>
        <n v="181473" u="1"/>
        <n v="181474" u="1"/>
        <n v="181475" u="1"/>
        <n v="181476" u="1"/>
        <n v="181477" u="1"/>
        <n v="181478" u="1"/>
        <n v="181479" u="1"/>
        <n v="181480" u="1"/>
        <n v="181481" u="1"/>
        <n v="181482" u="1"/>
        <n v="181483" u="1"/>
        <n v="181484" u="1"/>
        <n v="181485" u="1"/>
        <n v="181486" u="1"/>
        <n v="181487" u="1"/>
        <n v="181488" u="1"/>
        <n v="181489" u="1"/>
        <n v="181490" u="1"/>
        <n v="181491" u="1"/>
        <n v="181492" u="1"/>
        <n v="181493" u="1"/>
        <n v="181494" u="1"/>
        <n v="181495" u="1"/>
        <n v="181496" u="1"/>
        <n v="181497" u="1"/>
        <n v="181498" u="1"/>
        <n v="181499" u="1"/>
        <n v="181500" u="1"/>
        <n v="181501" u="1"/>
        <n v="181502" u="1"/>
        <n v="181503" u="1"/>
        <n v="181504" u="1"/>
        <n v="181505" u="1"/>
        <n v="181506" u="1"/>
        <n v="181507" u="1"/>
        <n v="181508" u="1"/>
        <n v="181509" u="1"/>
        <n v="181510" u="1"/>
        <n v="181511" u="1"/>
        <n v="181512" u="1"/>
        <n v="181513" u="1"/>
        <n v="181514" u="1"/>
        <n v="181515" u="1"/>
        <n v="181516" u="1"/>
        <n v="181517" u="1"/>
        <n v="181518" u="1"/>
        <n v="181519" u="1"/>
        <n v="181520" u="1"/>
        <n v="181521" u="1"/>
        <n v="181522" u="1"/>
        <n v="181523" u="1"/>
        <n v="181524" u="1"/>
        <n v="181525" u="1"/>
        <n v="181526" u="1"/>
        <n v="181527" u="1"/>
        <n v="181528" u="1"/>
        <n v="181529" u="1"/>
        <n v="181530" u="1"/>
        <n v="181531" u="1"/>
        <n v="181532" u="1"/>
        <n v="181533" u="1"/>
        <n v="181534" u="1"/>
        <n v="181535" u="1"/>
        <n v="181536" u="1"/>
        <n v="181537" u="1"/>
        <n v="181538" u="1"/>
        <n v="181539" u="1"/>
        <n v="181540" u="1"/>
        <n v="181541" u="1"/>
        <n v="181542" u="1"/>
        <n v="181543" u="1"/>
        <n v="181544" u="1"/>
        <n v="181545" u="1"/>
        <n v="181546" u="1"/>
        <n v="181547" u="1"/>
        <n v="181548" u="1"/>
        <n v="181549" u="1"/>
        <n v="181550" u="1"/>
        <n v="181551" u="1"/>
        <n v="181552" u="1"/>
        <n v="181553" u="1"/>
        <n v="181554" u="1"/>
        <n v="181555" u="1"/>
        <n v="181556" u="1"/>
        <n v="181557" u="1"/>
        <n v="181558" u="1"/>
        <n v="181559" u="1"/>
        <n v="181560" u="1"/>
        <n v="181561" u="1"/>
        <n v="181562" u="1"/>
        <n v="181563" u="1"/>
        <n v="181564" u="1"/>
        <n v="181565" u="1"/>
        <n v="181566" u="1"/>
        <n v="181567" u="1"/>
        <n v="181568" u="1"/>
        <n v="181569" u="1"/>
        <n v="181570" u="1"/>
        <n v="181571" u="1"/>
        <n v="181572" u="1"/>
        <n v="181573" u="1"/>
        <n v="181574" u="1"/>
        <n v="181575" u="1"/>
        <n v="181576" u="1"/>
        <n v="181577" u="1"/>
        <n v="181578" u="1"/>
        <n v="181579" u="1"/>
        <n v="181580" u="1"/>
        <n v="181581" u="1"/>
        <n v="181582" u="1"/>
        <n v="181583" u="1"/>
        <n v="181584" u="1"/>
        <n v="181585" u="1"/>
        <n v="181586" u="1"/>
        <n v="181587" u="1"/>
        <n v="181588" u="1"/>
        <n v="181589" u="1"/>
        <n v="181590" u="1"/>
        <n v="181591" u="1"/>
        <n v="181592" u="1"/>
        <n v="181593" u="1"/>
        <n v="181594" u="1"/>
        <n v="181595" u="1"/>
        <n v="181596" u="1"/>
        <n v="181597" u="1"/>
        <n v="181598" u="1"/>
        <n v="181599" u="1"/>
        <n v="181600" u="1"/>
        <n v="181601" u="1"/>
        <n v="181602" u="1"/>
        <n v="181603" u="1"/>
        <n v="181604" u="1"/>
        <n v="181605" u="1"/>
        <n v="181606" u="1"/>
        <n v="181607" u="1"/>
        <n v="181608" u="1"/>
        <n v="181609" u="1"/>
        <n v="181610" u="1"/>
        <n v="181611" u="1"/>
        <n v="181612" u="1"/>
        <n v="181613" u="1"/>
        <n v="181614" u="1"/>
        <n v="181615" u="1"/>
        <n v="181616" u="1"/>
        <n v="181617" u="1"/>
        <n v="181618" u="1"/>
        <n v="181619" u="1"/>
        <n v="181620" u="1"/>
        <n v="181621" u="1"/>
        <n v="181622" u="1"/>
        <n v="181623" u="1"/>
        <n v="181625" u="1"/>
        <n v="181626" u="1"/>
        <n v="181627" u="1"/>
        <n v="181628" u="1"/>
        <n v="181629" u="1"/>
        <n v="181630" u="1"/>
        <n v="181631" u="1"/>
        <n v="181632" u="1"/>
        <n v="181633" u="1"/>
        <n v="181634" u="1"/>
        <n v="181635" u="1"/>
        <n v="181636" u="1"/>
        <n v="181637" u="1"/>
        <n v="181638" u="1"/>
        <n v="181639" u="1"/>
        <n v="181640" u="1"/>
        <n v="181641" u="1"/>
        <n v="181642" u="1"/>
        <n v="181643" u="1"/>
        <n v="181644" u="1"/>
        <n v="181645" u="1"/>
        <n v="181646" u="1"/>
        <n v="181647" u="1"/>
        <n v="181648" u="1"/>
        <n v="181649" u="1"/>
        <n v="181650" u="1"/>
        <n v="181651" u="1"/>
        <n v="181652" u="1"/>
        <n v="181653" u="1"/>
        <n v="181654" u="1"/>
        <n v="181655" u="1"/>
        <n v="181656" u="1"/>
        <n v="181657" u="1"/>
        <n v="181658" u="1"/>
        <n v="181659" u="1"/>
        <n v="181660" u="1"/>
        <n v="181661" u="1"/>
        <n v="181662" u="1"/>
      </sharedItems>
    </cacheField>
    <cacheField name="Accession" numFmtId="0">
      <sharedItems containsNonDate="0" containsString="0" containsBlank="1"/>
    </cacheField>
    <cacheField name="Hospital" numFmtId="0">
      <sharedItems containsNonDate="0" containsString="0" containsBlank="1" count="1">
        <m/>
      </sharedItems>
    </cacheField>
    <cacheField name="WGS ID" numFmtId="0">
      <sharedItems containsNonDate="0" containsBlank="1" count="21">
        <m/>
        <s v="Acinetobacter baumannii" u="1"/>
        <s v="Pseudomonas aeruginosa" u="1"/>
        <s v="Klebsiella pneumoniae" u="1"/>
        <s v="Proteus mirabilis" u="1"/>
        <s v="Enterobacter hormaechei" u="1"/>
        <s v="Staphylococcus aureus" u="1"/>
        <s v="Escherichia coli" u="1"/>
        <s v="Morganella morganii" u="1"/>
        <s v="Acinetobacter pittii" u="1"/>
        <s v="Providencia stuartii" u="1"/>
        <s v="Achromobacter xylosoxidans" u="1"/>
        <s v="Enterococcus faecium" u="1"/>
        <s v="Citrobacter koseri" u="1"/>
        <s v="Staphylococcus epidermidis" u="1"/>
        <s v="Staphylococcus haemolyticus" u="1"/>
        <s v="Serratia marcescens" u="1"/>
        <s v="Klebsiella grimontii" u="1"/>
        <s v="Enterococcus faecalis" u="1"/>
        <s v="Bacillus cereus" u="1"/>
        <s v="Klebsiella oxytoca" u="1"/>
      </sharedItems>
    </cacheField>
    <cacheField name="ST" numFmtId="0">
      <sharedItems containsNonDate="0" containsBlank="1" count="81">
        <m/>
        <s v="ST-2" u="1"/>
        <s v="ST-773" u="1"/>
        <s v="ST-307" u="1"/>
        <s v="ST-15" u="1"/>
        <s v="Not Typable" u="1"/>
        <s v="ST-101" u="1"/>
        <s v="ST-171" u="1"/>
        <s v="ST-1971" u="1"/>
        <s v="ST-78" u="1"/>
        <s v="ST-2592" u="1"/>
        <s v="ST-395" u="1"/>
        <s v="ST-22" u="1"/>
        <s v="ST-39" u="1"/>
        <s v="ST-235" u="1"/>
        <s v="ST-147" u="1"/>
        <s v="ST-167" u="1"/>
        <s v="ST-225" u="1"/>
        <s v="ST-973" u="1"/>
        <s v="ST-19" u="1"/>
        <s v="Novel ST" u="1"/>
        <s v="ST-214" u="1"/>
        <s v="ST-1769" u="1"/>
        <s v="ST-131" u="1"/>
        <s v="ST-617" u="1"/>
        <s v="ST-254" u="1"/>
        <s v="ST-664" u="1"/>
        <s v="ST-23-KL57" u="1"/>
        <s v="ST-117" u="1"/>
        <s v="ST-244" u="1"/>
        <s v="ST-38" u="1"/>
        <s v="ST-1077" u="1"/>
        <s v="ST-25" u="1"/>
        <s v="ST-439" u="1"/>
        <s v="ST-198" u="1"/>
        <s v="ST-400" u="1"/>
        <s v="ST-23" u="1"/>
        <s v="ST-69" u="1"/>
        <s v="ST-416" u="1"/>
        <s v="ST-268" u="1"/>
        <s v="ST-10440" u="1"/>
        <s v="ST-245" u="1"/>
        <s v="ST-1128" u="1"/>
        <s v="ST-469" u="1"/>
        <s v="ST-36" u="1"/>
        <s v="ST-138" u="1"/>
        <s v="ST-2534" u="1"/>
        <s v="ST-90" u="1"/>
        <s v="ST-1286" u="1"/>
        <s v="ST-88" u="1"/>
        <s v="ST-2235" u="1"/>
        <s v="ST-168" u="1"/>
        <s v="ST-3199" u="1"/>
        <s v="ST-6" u="1"/>
        <s v="ST-231" u="1"/>
        <s v="ST-589" u="1"/>
        <s v="ST-2867" u="1"/>
        <s v="ST-256" u="1"/>
        <s v="ST-392" u="1"/>
        <s v="ST-111" u="1"/>
        <s v="ST-46" u="1"/>
        <s v="ST-654" u="1"/>
        <s v="ST-419" u="1"/>
        <s v="ST-8" u="1"/>
        <s v="ST-683" u="1"/>
        <s v="ST-744" u="1"/>
        <s v="ST-612" u="1"/>
        <s v="ST-344" u="1"/>
        <s v="ST-224" u="1"/>
        <s v="ST-23-KL1" u="1"/>
        <s v="ST-80" u="1"/>
        <s v="ST-1200" u="1"/>
        <s v="ST-2687" u="1"/>
        <s v="ST-42" u="1"/>
        <s v="ST-152" u="1"/>
        <s v="ST-49" u="1"/>
        <s v="ST-1158" u="1"/>
        <s v="ST-33" u="1"/>
        <s v="ST-156" u="1"/>
        <s v="ST-189" u="1"/>
        <s v="ST-252" u="1"/>
      </sharedItems>
    </cacheField>
    <cacheField name="qcCallFinal" numFmtId="0">
      <sharedItems containsNonDate="0" containsString="0" containsBlank="1"/>
    </cacheField>
    <cacheField name="sequencingRun" numFmtId="0">
      <sharedItems containsNonDate="0" containsString="0" containsBlank="1"/>
    </cacheField>
    <cacheField name="High Priority" numFmtId="0">
      <sharedItems containsNonDate="0" containsBlank="1" count="3">
        <m/>
        <s v="Yes" u="1"/>
        <s v="No" u="1"/>
      </sharedItems>
    </cacheField>
    <cacheField name="geneSymbol" numFmtId="0">
      <sharedItems containsNonDate="0" containsBlank="1" count="224">
        <m/>
        <s v="armA" u="1"/>
        <s v="aadA1" u="1"/>
        <s v="blaOXA-23" u="1"/>
        <s v="blaOXA-66" u="1"/>
        <s v="aac(6')-Ib'" u="1"/>
        <s v="aph(3'')-Ib" u="1"/>
        <s v="aph(3')-Ia" u="1"/>
        <s v="aph(6)-Id" u="1"/>
        <s v="ant(3'')-IIa" u="1"/>
        <s v="cxpE" u="1"/>
        <s v="blaADC-30" u="1"/>
        <s v="sul1" u="1"/>
        <s v="sul2" u="1"/>
        <s v="catB8" u="1"/>
        <s v="rmtB4" u="1"/>
        <s v="aadA11" u="1"/>
        <s v="fosA" u="1"/>
        <s v="blaOXA-395" u="1"/>
        <s v="aph(3')-IIb" u="1"/>
        <s v="floR2" u="1"/>
        <s v="blaPDC-16" u="1"/>
        <s v="qnrVC1" u="1"/>
        <s v="blaNDM-1" u="1"/>
        <s v="tet(G)" u="1"/>
        <s v="catB7" u="1"/>
        <s v="aac(3)-IIe" u="1"/>
        <s v="blaSHV-28" u="1"/>
        <s v="blaTEM-1" u="1"/>
        <s v="blaCTX-M-15" u="1"/>
        <s v="aac(6')-Ib-cr5" u="1"/>
        <s v="blaOXA-1" u="1"/>
        <s v="qnrB1" u="1"/>
        <s v="tet(A)" u="1"/>
        <s v="dfrA14" u="1"/>
        <s v="aph(3')-VI" u="1"/>
        <s v="qnrS1" u="1"/>
        <s v="dfrA5" u="1"/>
        <s v="dfrA50" u="1"/>
        <s v="aac(6')-Ib" u="1"/>
        <s v="ant(2'')-Ia" u="1"/>
        <s v="blaVEB-6" u="1"/>
        <s v="tet(J)" u="1"/>
        <s v="dfrA1" u="1"/>
        <s v="catA1" u="1"/>
        <s v="catA" u="1"/>
        <s v="rmtF1" u="1"/>
        <s v="blaSHV-1" u="1"/>
        <s v="blaKPC-3" u="1"/>
        <s v="catB" u="1"/>
        <s v="aac(3)-IId" u="1"/>
        <s v="blaACT-45" u="1"/>
        <s v="tet(B)" u="1"/>
        <s v="dfrA51" u="1"/>
        <s v="aadA2" u="1"/>
        <s v="aac(6')-Ib4" u="1"/>
        <s v="blaPDC-142" u="1"/>
        <s v="tet(C)" u="1"/>
        <s v="aadA5" u="1"/>
        <s v="blaOXA-72" u="1"/>
        <s v="blaOXA-90" u="1"/>
        <s v="blaCARB-16" u="1"/>
        <s v="aac(6')-Ian" u="1"/>
        <s v="floR" u="1"/>
        <s v="blaCTX-M-115" u="1"/>
        <s v="blaADC-152" u="1"/>
        <s v="blaPER-7" u="1"/>
        <s v="aac(3)-Ia" u="1"/>
        <s v="aph(3')-VIb" u="1"/>
        <s v="blaADC-182" u="1"/>
        <s v="blaPER-1" u="1"/>
        <s v="crpP" u="1"/>
        <s v="blaOXA-846" u="1"/>
        <s v="aac(6')-Il" u="1"/>
        <s v="blaPDC-11" u="1"/>
        <s v="blaVEB-9" u="1"/>
        <s v="blaOXA-10" u="1"/>
        <s v="dfrB2" u="1"/>
        <s v="blaOXA-48" u="1"/>
        <s v="blaSHV-11" u="1"/>
        <s v="blaCTX-M-136" u="1"/>
        <s v="qnrD1" u="1"/>
        <s v="mecA" u="1"/>
        <s v="lmrS" u="1"/>
        <s v="blaZ" u="1"/>
        <s v="blaI" u="1"/>
        <s v="tet(38)" u="1"/>
        <s v="blaKPC-2" u="1"/>
        <s v="aadA6" u="1"/>
        <s v="blaOXA-488" u="1"/>
        <s v="aph(3')-XV" u="1"/>
        <s v="blaPDC-35" u="1"/>
        <s v="blaGES-11" u="1"/>
        <s v="blaOXA-9" u="1"/>
        <s v="blaNDM-5" u="1"/>
        <s v="rmtB1" u="1"/>
        <s v="blaOXA-1207" u="1"/>
        <s v="blaCMY-145" u="1"/>
        <s v="blaEC-15" u="1"/>
        <s v="dfrA12" u="1"/>
        <s v="blaDHA-1" u="1"/>
        <s v="catA2" u="1"/>
        <s v="aph(3')-VIa" u="1"/>
        <s v="blaADC-175" u="1"/>
        <s v="fosB" u="1"/>
        <s v="aadD1" u="1"/>
        <s v="ant(9)-Ia" u="1"/>
        <s v="blaEC-8" u="1"/>
        <s v="blaOXA-69" u="1"/>
        <s v="blaADC-185" u="1"/>
        <s v="blaOXA-506" u="1"/>
        <s v="blaADC-245" u="1"/>
        <s v="blaOXA-244" u="1"/>
        <s v="aadA36" u="1"/>
        <s v="aac(2')-Ia" u="1"/>
        <s v="dfrA10" u="1"/>
        <s v="catA3" u="1"/>
        <s v="blaOXA-1135" u="1"/>
        <s v="blaPDC-66" u="1"/>
        <s v="blaEC-5" u="1"/>
        <s v="dfrA17" u="1"/>
        <s v="blaACT-65" u="1"/>
        <s v="blaPDC-98" u="1"/>
        <s v="blaOXA-50" u="1"/>
        <s v="blaCTX-M-55" u="1"/>
        <s v="catB3" u="1"/>
        <s v="blaOXA-114f" u="1"/>
        <s v="vanA" u="1"/>
        <s v="aac(6')-I" u="1"/>
        <s v="aac(6')-Ie/aph(2'')-Ia" u="1"/>
        <s v="mef(H)" u="1"/>
        <s v="dfrG" u="1"/>
        <s v="qnrA1" u="1"/>
        <s v="rmtC" u="1"/>
        <s v="aac(6')-Ib3" u="1"/>
        <s v="blaCMY-16" u="1"/>
        <s v="dfrA46" u="1"/>
        <s v="blaCKO-1" u="1"/>
        <s v="blaOXA-847" u="1"/>
        <s v="blaPDC-1" u="1"/>
        <s v="cmx" u="1"/>
        <s v="blaCMY-42" u="1"/>
        <s v="blaOXA-64" u="1"/>
        <s v="blaADC-26" u="1"/>
        <s v="blaOXA-494" u="1"/>
        <s v="blaPDC-5" u="1"/>
        <s v="blaPDC-31" u="1"/>
        <s v="dfrA7" u="1"/>
        <s v="dfrS1" u="1"/>
        <s v="blaOXA-100" u="1"/>
        <s v="blaADC-347" u="1"/>
        <s v="fos" u="1"/>
        <s v="blaPC1" u="1"/>
        <s v="fusB" u="1"/>
        <s v="aph(3')-IIIa" u="1"/>
        <s v="ant(6)-Ia" u="1"/>
        <s v="tet(M)" u="1"/>
        <s v="blaSHV-27" u="1"/>
        <s v="aadA16" u="1"/>
        <s v="dfrA27" u="1"/>
        <s v="blaSHV-5" u="1"/>
        <s v="blaACT-47" u="1"/>
        <s v="blaACT-56" u="1"/>
        <s v="blaCTX-M-27" u="1"/>
        <s v="blaOXA-1127" u="1"/>
        <s v="blaPDC-3" u="1"/>
        <s v="aac(6')" u="1"/>
        <s v="blaSRT-4" u="1"/>
        <s v="tet(41)" u="1"/>
        <s v="blaOXY-6-1" u="1"/>
        <s v="blaACT-17" u="1"/>
        <s v="lsa(A)" u="1"/>
        <s v="dfrF" u="1"/>
        <s v="blaACT-25" u="1"/>
        <s v="blaOXA-486" u="1"/>
        <s v="blaOXA-14" u="1"/>
        <s v="blaVIM-1" u="1"/>
        <s v="narA" u="1"/>
        <s v="narB" u="1"/>
        <s v="tet(L)" u="1"/>
        <s v="aac(6')-29a" u="1"/>
        <s v="aac(6')-29b" u="1"/>
        <s v="blaVIM-2" u="1"/>
        <s v="blaOXA-396" u="1"/>
        <s v="blaEC" u="1"/>
        <s v="blaOXA-1034" u="1"/>
        <s v="qnrB19" u="1"/>
        <s v="aac(3)-IVa" u="1"/>
        <s v="aph(4)-Ia" u="1"/>
        <s v="blaCTX-M-65" u="1"/>
        <s v="dfrA32" u="1"/>
        <s v="aacA16" u="1"/>
        <s v="aac(6')-IIa" u="1"/>
        <s v="blaVIM-4" u="1"/>
        <s v="sul3" u="1"/>
        <s v="blaIMP-1" u="1"/>
        <s v="dfrA45" u="1"/>
        <s v="bla2" u="1"/>
        <s v="bla" u="1"/>
        <s v="fusC" u="1"/>
        <s v="tet(K)" u="1"/>
        <s v="blaADC-267" u="1"/>
        <s v="blaSRT-3" u="1"/>
        <s v="blaPDC-37" u="1"/>
        <s v="blaOXY-2-7" u="1"/>
        <s v="blaSRT" u="1"/>
        <s v="blaEC-18" u="1"/>
        <s v="blaSHV-80" u="1"/>
        <s v="blaACT-24" u="1"/>
        <s v="blaACT-89" u="1"/>
        <s v="ybt16" u="1"/>
        <s v="ybt10" u="1"/>
        <s v="ybt9" u="1"/>
        <s v="ybtunknown" u="1"/>
        <s v="ybt0" u="1"/>
        <s v="ybt14" u="1"/>
        <s v="ybt1" u="1"/>
        <s v="clb3" u="1"/>
        <s v="clb2" u="1"/>
        <s v="iuc1" u="1"/>
        <s v="iro1" u="1"/>
        <s v="rmp1" u="1"/>
        <s v="rmpunknown" u="1"/>
        <s v="rmpA2" u="1"/>
      </sharedItems>
    </cacheField>
    <cacheField name="mrsnSuperFamily" numFmtId="0">
      <sharedItems containsNonDate="0" containsString="0" containsBlank="1"/>
    </cacheField>
    <cacheField name="expectedPhenotype" numFmtId="0">
      <sharedItems containsNonDate="0" containsBlank="1" count="48">
        <m/>
        <s v="Aminoglycoside: Pan resistance" u="1"/>
        <s v="Aminoglycoside: Streptomycin" u="1"/>
        <s v="Beta-lactam: Carbapenems (OXA-23 family)" u="1"/>
        <s v="Beta-lactam: Carbapenems (OXA-51 family)" u="1"/>
        <s v="Aminoglycoside: Gentamicin" u="1"/>
        <s v="Aminoglycoside: Kanamycin" u="1"/>
        <s v="Aminoglycoside: Streptomycin, Spectinomycin" u="1"/>
        <s v="Phenicol: Chloramphenicol" u="1"/>
        <s v="Beta-lactam: Penicillins, Early Cephalosporins (AmpC)" u="1"/>
        <s v="Sulfonamide" u="1"/>
        <s v="Fosfomycin" u="1"/>
        <s v="Beta-lactam: Penicillins, Early Cephalosporins" u="1"/>
        <s v="Phenicol: Chloramphenicol, Florfenicol" u="1"/>
        <s v="Quinolone" u="1"/>
        <s v="Beta-lactam: Carbapenems" u="1"/>
        <s v="Tetracycline" u="1"/>
        <s v="Beta-lactam: ESBL" u="1"/>
        <s v="Aminoglycoside/Quinolone: Amikacin, Tobramycin, Ciprofloxacin" u="1"/>
        <s v="Beta-lactam: Cephalosporins" u="1"/>
        <s v="Trimethoprim" u="1"/>
        <s v="Aminoglycoside: Amikacin, Kanamycin" u="1"/>
        <s v="Aminoglycoside: Amikacin, Kanamycin, Tobramycin" u="1"/>
        <s v="Aminoglycoside: Gentamicin, Kanamycin, Tobramycin" u="1"/>
        <s v="Beta-lactam: Carbapenems (OXA-24 family)" u="1"/>
        <s v="Beta-lactam: Carbapenems (OXA-48 family)" u="1"/>
        <s v="Beta-lactam: Methicilin" u="1"/>
        <s v="Macrolide/Phenicol: Erythromycin, Chloramphenicol" u="1"/>
        <s v="Beta-lactam: Penicillins" u="1"/>
        <s v="Beta-lactam: Unknown" u="1"/>
        <s v="Aminoglycoside: Kanamycin, Tobramycin" u="1"/>
        <s v="Aminoglycoside: Spectinomycin" u="1"/>
        <s v="Aminoglycoside: Gentamicin, Tobramycin" u="1"/>
        <s v="Glycopeptide: Vancomycin" u="1"/>
        <s v="Aminoglycoside: Unknown" u="1"/>
        <s v="Aminoglycoside: Amikacin, Gentamicin, Kanamycin, Tobramycin" u="1"/>
        <s v="Macrolide: Erythromycin" u="1"/>
        <s v="Fusidic acid" u="1"/>
        <s v="Lincosamide/Streptogramin" u="1"/>
        <s v="Other antimicrobial: Maduramicin, Narasin, Salinomycin" u="1"/>
        <s v="Beta-lactam: Penicillins (AmpC)" u="1"/>
        <s v="Aminoglycoside: Gentamicin, Apramycin, Tobramycin" u="1"/>
        <s v="Aminoglycoside: Hygromycin" u="1"/>
        <s v="Virulence: Yersiniabactin Siderophore" u="1"/>
        <s v="Virulence: Colibactin Siderophore" u="1"/>
        <s v="Virulence: Aerobactin Siderophore" u="1"/>
        <s v="Virulence: Salmochelin Siderophore" u="1"/>
        <s v="Virulence: Mucoviscosity and Capsule Type Regulator" u="1"/>
      </sharedItems>
    </cacheField>
    <cacheField name="source" numFmtId="0">
      <sharedItems containsNonDate="0" containsString="0" containsBlank="1"/>
    </cacheField>
    <cacheField name="contigCoverage" numFmtId="0">
      <sharedItems containsNonDate="0" containsString="0" containsBlank="1"/>
    </cacheField>
    <cacheField name="percentIdentityReferenceSequence" numFmtId="0">
      <sharedItems containsNonDate="0" containsString="0" containsBlank="1"/>
    </cacheField>
    <cacheField name="percentCoverageReferenceSequence" numFmtId="0">
      <sharedItems containsNonDate="0" containsString="0" containsBlank="1"/>
    </cacheField>
    <cacheField name="extendedAnnotation" numFmtId="0">
      <sharedItems containsNonDate="0" containsString="0" containsBlank="1"/>
    </cacheField>
    <cacheField name="method" numFmtId="0">
      <sharedItems containsNonDate="0" containsString="0" containsBlank="1"/>
    </cacheField>
    <cacheField name="row_index" numFmtId="0">
      <sharedItems containsNonDate="0" containsString="0" containsBlank="1"/>
    </cacheField>
    <cacheField name="Carbapenemases" numFmtId="0">
      <sharedItems containsNonDate="0" containsBlank="1" count="22">
        <m/>
        <s v="None Detected" u="1"/>
        <s v="blaOXA-23" u="1"/>
        <s v="blaOXA-66" u="1"/>
        <s v="blaNDM-1" u="1"/>
        <s v="blaKPC-3" u="1"/>
        <s v="blaOXA-72" u="1"/>
        <s v="blaOXA-90" u="1"/>
        <s v="blaOXA-48" u="1"/>
        <s v="blaKPC-2" u="1"/>
        <s v="blaNDM-5" u="1"/>
        <s v="blaOXA-1207" u="1"/>
        <s v="blaOXA-69" u="1"/>
        <s v="blaOXA-506" u="1"/>
        <s v="blaOXA-244" u="1"/>
        <s v="blaOXA-64" u="1"/>
        <s v="blaOXA-100" u="1"/>
        <s v="blaVIM-1" u="1"/>
        <s v="blaVIM-2" u="1"/>
        <s v="blaVIM-4" u="1"/>
        <s v="blaIMP-1" u="1"/>
        <s v="bla2" u="1"/>
      </sharedItems>
    </cacheField>
    <cacheField name="Extended-Spectrum β-Lactamases (ESBLs)" numFmtId="0">
      <sharedItems containsNonDate="0" containsBlank="1" count="17">
        <m/>
        <s v="None Detected" u="1"/>
        <s v="blaCTX-M-15" u="1"/>
        <s v="blaVEB-6" u="1"/>
        <s v="blaCTX-M-115" u="1"/>
        <s v="blaPER-7" u="1"/>
        <s v="blaPER-1" u="1"/>
        <s v="blaVEB-9" u="1"/>
        <s v="blaCTX-M-136" u="1"/>
        <s v="blaGES-11" u="1"/>
        <s v="blaCTX-M-55" u="1"/>
        <s v="blaSHV-5" u="1"/>
        <s v="blaCTX-M-27" u="1"/>
        <s v="blaOXY-6-1" u="1"/>
        <s v="blaOXA-14" u="1"/>
        <s v="blaCTX-M-65" u="1"/>
        <s v="blaOXY-2-7" u="1"/>
      </sharedItems>
    </cacheField>
    <cacheField name="16S Methyltransferases" numFmtId="0">
      <sharedItems containsNonDate="0" containsBlank="1" count="7">
        <m/>
        <s v="armA" u="1"/>
        <s v="None Detected" u="1"/>
        <s v="rmtB4" u="1"/>
        <s v="rmtF1" u="1"/>
        <s v="rmtB1" u="1"/>
        <s v="rmtC" u="1"/>
      </sharedItems>
    </cacheField>
    <cacheField name="Virulence Determinants" numFmtId="0">
      <sharedItems containsNonDate="0" containsBlank="1" count="16">
        <m/>
        <s v="None Detected" u="1"/>
        <s v="ybt16" u="1"/>
        <s v="ybt10" u="1"/>
        <s v="ybt9" u="1"/>
        <s v="ybtunknown" u="1"/>
        <s v="ybt0" u="1"/>
        <s v="ybt14" u="1"/>
        <s v="ybt1" u="1"/>
        <s v="clb3" u="1"/>
        <s v="clb2" u="1"/>
        <s v="iuc1" u="1"/>
        <s v="iro1" u="1"/>
        <s v="rmp1" u="1"/>
        <s v="rmpunknown" u="1"/>
        <s v="rmpA2" u="1"/>
      </sharedItems>
    </cacheField>
  </cacheFields>
  <extLst>
    <ext xmlns:x14="http://schemas.microsoft.com/office/spreadsheetml/2009/9/main" uri="{725AE2AE-9491-48be-B2B4-4EB974FC3084}">
      <x14:pivotCacheDefinition pivotCacheId="1687434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m/>
    <x v="0"/>
    <x v="0"/>
    <x v="0"/>
    <m/>
    <m/>
    <x v="0"/>
    <x v="0"/>
    <m/>
    <x v="0"/>
    <m/>
    <m/>
    <m/>
    <m/>
    <m/>
    <m/>
    <m/>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0A955-FBC8-473B-9511-780F6C8BB90D}"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solate Type" colHeaderCaption="Count of Gene">
  <location ref="A18:C23" firstHeaderRow="1" firstDataRow="2" firstDataCol="1"/>
  <pivotFields count="22">
    <pivotField axis="axisRow" showAll="0">
      <items count="48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x="0"/>
        <item t="default"/>
      </items>
    </pivotField>
    <pivotField showAll="0"/>
    <pivotField showAll="0">
      <items count="2">
        <item x="0"/>
        <item t="default"/>
      </items>
    </pivotField>
    <pivotField axis="axisRow" showAll="0" sortType="ascending">
      <items count="22">
        <item m="1" x="11"/>
        <item m="1" x="1"/>
        <item m="1" x="9"/>
        <item m="1" x="19"/>
        <item m="1" x="13"/>
        <item m="1" x="5"/>
        <item m="1" x="18"/>
        <item m="1" x="12"/>
        <item m="1" x="7"/>
        <item m="1" x="17"/>
        <item m="1" x="20"/>
        <item m="1" x="3"/>
        <item m="1" x="8"/>
        <item m="1" x="4"/>
        <item m="1" x="10"/>
        <item m="1" x="2"/>
        <item m="1" x="16"/>
        <item m="1" x="6"/>
        <item m="1" x="14"/>
        <item m="1" x="15"/>
        <item x="0"/>
        <item t="default"/>
      </items>
    </pivotField>
    <pivotField axis="axisRow" showAll="0">
      <items count="82">
        <item m="1" x="20"/>
        <item m="1" x="5"/>
        <item m="1" x="1"/>
        <item m="1" x="2"/>
        <item m="1" x="3"/>
        <item m="1" x="4"/>
        <item m="1" x="6"/>
        <item m="1" x="7"/>
        <item m="1" x="8"/>
        <item m="1" x="9"/>
        <item m="1" x="10"/>
        <item m="1" x="11"/>
        <item m="1" x="12"/>
        <item m="1" x="13"/>
        <item m="1" x="14"/>
        <item m="1" x="15"/>
        <item m="1" x="16"/>
        <item m="1" x="17"/>
        <item m="1" x="18"/>
        <item m="1" x="19"/>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x="0"/>
        <item t="default"/>
      </items>
    </pivotField>
    <pivotField showAll="0"/>
    <pivotField showAll="0"/>
    <pivotField showAll="0">
      <items count="4">
        <item m="1" x="2"/>
        <item m="1" x="1"/>
        <item x="0"/>
        <item t="default"/>
      </items>
    </pivotField>
    <pivotField name="geneSymbol" axis="axisCol" dataField="1" showAll="0" sortType="ascending">
      <items count="225">
        <item m="1" x="114"/>
        <item m="1" x="67"/>
        <item m="1" x="50"/>
        <item m="1" x="26"/>
        <item m="1" x="187"/>
        <item m="1" x="166"/>
        <item m="1" x="180"/>
        <item m="1" x="181"/>
        <item m="1" x="128"/>
        <item m="1" x="62"/>
        <item m="1" x="39"/>
        <item m="1" x="5"/>
        <item m="1" x="134"/>
        <item m="1" x="55"/>
        <item m="1" x="30"/>
        <item m="1" x="129"/>
        <item m="1" x="192"/>
        <item m="1" x="73"/>
        <item m="1" x="191"/>
        <item m="1" x="2"/>
        <item m="1" x="16"/>
        <item m="1" x="158"/>
        <item m="1" x="54"/>
        <item m="1" x="113"/>
        <item m="1" x="58"/>
        <item m="1" x="88"/>
        <item m="1" x="105"/>
        <item m="1" x="40"/>
        <item m="1" x="9"/>
        <item m="1" x="155"/>
        <item m="1" x="106"/>
        <item m="1" x="7"/>
        <item m="1" x="6"/>
        <item m="1" x="19"/>
        <item m="1" x="154"/>
        <item m="1" x="35"/>
        <item m="1" x="102"/>
        <item m="1" x="68"/>
        <item m="1" x="90"/>
        <item m="1" x="188"/>
        <item m="1" x="8"/>
        <item m="1" x="1"/>
        <item m="1" x="198"/>
        <item m="1" x="197"/>
        <item m="1" x="170"/>
        <item m="1" x="208"/>
        <item m="1" x="173"/>
        <item m="1" x="51"/>
        <item m="1" x="161"/>
        <item m="1" x="162"/>
        <item m="1" x="121"/>
        <item m="1" x="209"/>
        <item m="1" x="65"/>
        <item m="1" x="103"/>
        <item m="1" x="69"/>
        <item m="1" x="109"/>
        <item m="1" x="111"/>
        <item m="1" x="143"/>
        <item m="1" x="201"/>
        <item m="1" x="11"/>
        <item m="1" x="150"/>
        <item m="1" x="61"/>
        <item m="1" x="137"/>
        <item m="1" x="97"/>
        <item m="1" x="135"/>
        <item m="1" x="141"/>
        <item m="1" x="64"/>
        <item m="1" x="80"/>
        <item m="1" x="29"/>
        <item m="1" x="163"/>
        <item m="1" x="124"/>
        <item m="1" x="189"/>
        <item m="1" x="100"/>
        <item m="1" x="184"/>
        <item m="1" x="98"/>
        <item m="1" x="206"/>
        <item m="1" x="119"/>
        <item m="1" x="107"/>
        <item m="1" x="92"/>
        <item m="1" x="85"/>
        <item m="1" x="195"/>
        <item m="1" x="87"/>
        <item m="1" x="48"/>
        <item m="1" x="23"/>
        <item m="1" x="94"/>
        <item m="1" x="31"/>
        <item m="1" x="76"/>
        <item m="1" x="149"/>
        <item m="1" x="185"/>
        <item m="1" x="164"/>
        <item m="1" x="117"/>
        <item m="1" x="126"/>
        <item m="1" x="96"/>
        <item m="1" x="175"/>
        <item m="1" x="3"/>
        <item m="1" x="112"/>
        <item m="1" x="18"/>
        <item m="1" x="183"/>
        <item m="1" x="78"/>
        <item m="1" x="174"/>
        <item m="1" x="89"/>
        <item m="1" x="144"/>
        <item m="1" x="123"/>
        <item m="1" x="110"/>
        <item m="1" x="142"/>
        <item m="1" x="4"/>
        <item m="1" x="108"/>
        <item m="1" x="59"/>
        <item m="1" x="72"/>
        <item m="1" x="138"/>
        <item m="1" x="93"/>
        <item m="1" x="60"/>
        <item m="1" x="204"/>
        <item m="1" x="169"/>
        <item m="1" x="152"/>
        <item m="1" x="139"/>
        <item m="1" x="74"/>
        <item m="1" x="56"/>
        <item m="1" x="21"/>
        <item m="1" x="165"/>
        <item m="1" x="146"/>
        <item m="1" x="91"/>
        <item m="1" x="203"/>
        <item m="1" x="145"/>
        <item m="1" x="118"/>
        <item m="1" x="122"/>
        <item m="1" x="70"/>
        <item m="1" x="66"/>
        <item m="1" x="47"/>
        <item m="1" x="79"/>
        <item m="1" x="157"/>
        <item m="1" x="27"/>
        <item m="1" x="160"/>
        <item m="1" x="207"/>
        <item m="1" x="205"/>
        <item m="1" x="202"/>
        <item m="1" x="167"/>
        <item m="1" x="28"/>
        <item m="1" x="41"/>
        <item m="1" x="75"/>
        <item m="1" x="176"/>
        <item m="1" x="182"/>
        <item m="1" x="193"/>
        <item m="1" x="84"/>
        <item m="1" x="45"/>
        <item m="1" x="44"/>
        <item m="1" x="101"/>
        <item m="1" x="116"/>
        <item m="1" x="49"/>
        <item m="1" x="125"/>
        <item m="1" x="25"/>
        <item m="1" x="14"/>
        <item m="1" x="218"/>
        <item m="1" x="217"/>
        <item m="1" x="140"/>
        <item m="1" x="71"/>
        <item m="1" x="10"/>
        <item m="1" x="43"/>
        <item m="1" x="115"/>
        <item m="1" x="99"/>
        <item m="1" x="34"/>
        <item m="1" x="120"/>
        <item m="1" x="159"/>
        <item m="1" x="190"/>
        <item m="1" x="196"/>
        <item m="1" x="136"/>
        <item m="1" x="37"/>
        <item m="1" x="38"/>
        <item m="1" x="53"/>
        <item m="1" x="147"/>
        <item m="1" x="77"/>
        <item m="1" x="172"/>
        <item m="1" x="131"/>
        <item m="1" x="148"/>
        <item m="1" x="63"/>
        <item m="1" x="20"/>
        <item m="1" x="151"/>
        <item m="1" x="17"/>
        <item m="1" x="104"/>
        <item m="1" x="153"/>
        <item m="1" x="199"/>
        <item m="1" x="220"/>
        <item m="1" x="219"/>
        <item m="1" x="83"/>
        <item m="1" x="171"/>
        <item m="1" x="82"/>
        <item m="1" x="130"/>
        <item m="1" x="177"/>
        <item m="1" x="178"/>
        <item m="1" x="132"/>
        <item m="1" x="32"/>
        <item m="1" x="186"/>
        <item m="1" x="81"/>
        <item m="1" x="36"/>
        <item m="1" x="22"/>
        <item m="1" x="221"/>
        <item m="1" x="223"/>
        <item m="1" x="222"/>
        <item m="1" x="95"/>
        <item m="1" x="15"/>
        <item m="1" x="133"/>
        <item m="1" x="46"/>
        <item m="1" x="12"/>
        <item m="1" x="13"/>
        <item m="1" x="194"/>
        <item m="1" x="86"/>
        <item m="1" x="168"/>
        <item m="1" x="33"/>
        <item m="1" x="52"/>
        <item m="1" x="57"/>
        <item m="1" x="24"/>
        <item m="1" x="42"/>
        <item m="1" x="200"/>
        <item m="1" x="179"/>
        <item m="1" x="156"/>
        <item m="1" x="127"/>
        <item m="1" x="214"/>
        <item m="1" x="216"/>
        <item m="1" x="211"/>
        <item m="1" x="215"/>
        <item m="1" x="210"/>
        <item m="1" x="212"/>
        <item m="1" x="213"/>
        <item x="0"/>
        <item t="default"/>
      </items>
    </pivotField>
    <pivotField showAll="0"/>
    <pivotField showAll="0">
      <items count="49">
        <item m="1" x="18"/>
        <item m="1" x="35"/>
        <item m="1" x="21"/>
        <item m="1" x="22"/>
        <item m="1" x="5"/>
        <item m="1" x="41"/>
        <item m="1" x="23"/>
        <item m="1" x="32"/>
        <item m="1" x="42"/>
        <item m="1" x="6"/>
        <item m="1" x="30"/>
        <item m="1" x="1"/>
        <item m="1" x="31"/>
        <item m="1" x="2"/>
        <item m="1" x="7"/>
        <item m="1" x="34"/>
        <item m="1" x="15"/>
        <item m="1" x="3"/>
        <item m="1" x="24"/>
        <item m="1" x="25"/>
        <item m="1" x="4"/>
        <item m="1" x="19"/>
        <item m="1" x="17"/>
        <item m="1" x="26"/>
        <item m="1" x="28"/>
        <item m="1" x="40"/>
        <item m="1" x="12"/>
        <item m="1" x="9"/>
        <item m="1" x="29"/>
        <item m="1" x="11"/>
        <item m="1" x="37"/>
        <item m="1" x="33"/>
        <item m="1" x="38"/>
        <item m="1" x="27"/>
        <item m="1" x="36"/>
        <item m="1" x="39"/>
        <item m="1" x="8"/>
        <item m="1" x="13"/>
        <item m="1" x="14"/>
        <item m="1" x="10"/>
        <item m="1" x="16"/>
        <item m="1" x="20"/>
        <item m="1" x="45"/>
        <item m="1" x="44"/>
        <item m="1" x="47"/>
        <item m="1" x="46"/>
        <item m="1" x="43"/>
        <item x="0"/>
        <item t="default"/>
      </items>
    </pivotField>
    <pivotField showAll="0"/>
    <pivotField showAll="0"/>
    <pivotField showAll="0"/>
    <pivotField showAll="0"/>
    <pivotField showAll="0"/>
    <pivotField showAll="0"/>
    <pivotField showAll="0"/>
    <pivotField showAll="0">
      <items count="23">
        <item m="1" x="21"/>
        <item m="1" x="20"/>
        <item m="1" x="9"/>
        <item m="1" x="5"/>
        <item m="1" x="4"/>
        <item m="1" x="10"/>
        <item m="1" x="16"/>
        <item m="1" x="11"/>
        <item m="1" x="2"/>
        <item m="1" x="14"/>
        <item m="1" x="8"/>
        <item m="1" x="13"/>
        <item m="1" x="15"/>
        <item m="1" x="3"/>
        <item m="1" x="12"/>
        <item m="1" x="6"/>
        <item m="1" x="7"/>
        <item m="1" x="17"/>
        <item m="1" x="18"/>
        <item m="1" x="19"/>
        <item m="1" x="1"/>
        <item x="0"/>
        <item t="default"/>
      </items>
    </pivotField>
    <pivotField showAll="0">
      <items count="18">
        <item m="1" x="4"/>
        <item m="1" x="8"/>
        <item m="1" x="2"/>
        <item m="1" x="12"/>
        <item m="1" x="10"/>
        <item m="1" x="15"/>
        <item m="1" x="9"/>
        <item m="1" x="14"/>
        <item m="1" x="16"/>
        <item m="1" x="13"/>
        <item m="1" x="6"/>
        <item m="1" x="5"/>
        <item m="1" x="11"/>
        <item m="1" x="3"/>
        <item m="1" x="7"/>
        <item m="1" x="1"/>
        <item x="0"/>
        <item t="default"/>
      </items>
    </pivotField>
    <pivotField showAll="0">
      <items count="8">
        <item m="1" x="1"/>
        <item m="1" x="2"/>
        <item m="1" x="5"/>
        <item m="1" x="3"/>
        <item m="1" x="6"/>
        <item m="1" x="4"/>
        <item x="0"/>
        <item t="default"/>
      </items>
    </pivotField>
    <pivotField showAll="0">
      <items count="17">
        <item m="1" x="10"/>
        <item m="1" x="9"/>
        <item m="1" x="12"/>
        <item m="1" x="11"/>
        <item m="1" x="1"/>
        <item m="1" x="13"/>
        <item m="1" x="15"/>
        <item m="1" x="14"/>
        <item m="1" x="6"/>
        <item m="1" x="8"/>
        <item m="1" x="3"/>
        <item m="1" x="7"/>
        <item m="1" x="2"/>
        <item m="1" x="4"/>
        <item m="1" x="5"/>
        <item x="0"/>
        <item t="default"/>
      </items>
    </pivotField>
  </pivotFields>
  <rowFields count="3">
    <field x="3"/>
    <field x="4"/>
    <field x="0"/>
  </rowFields>
  <rowItems count="4">
    <i>
      <x v="20"/>
    </i>
    <i r="1">
      <x v="80"/>
    </i>
    <i r="2">
      <x v="480"/>
    </i>
    <i t="grand">
      <x/>
    </i>
  </rowItems>
  <colFields count="1">
    <field x="8"/>
  </colFields>
  <colItems count="2">
    <i>
      <x v="223"/>
    </i>
    <i t="grand">
      <x/>
    </i>
  </colItems>
  <dataFields count="1">
    <dataField name=" " fld="8" subtotal="count" baseField="1" baseItem="135"/>
  </dataFields>
  <formats count="14">
    <format dxfId="56">
      <pivotArea dataOnly="0" labelOnly="1" fieldPosition="0">
        <references count="1">
          <reference field="8" count="33">
            <x v="2"/>
            <x v="3"/>
            <x v="9"/>
            <x v="10"/>
            <x v="11"/>
            <x v="14"/>
            <x v="19"/>
            <x v="21"/>
            <x v="22"/>
            <x v="24"/>
            <x v="28"/>
            <x v="31"/>
            <x v="32"/>
            <x v="35"/>
            <x v="36"/>
            <x v="40"/>
            <x v="41"/>
            <x v="59"/>
            <x v="68"/>
            <x v="70"/>
            <x v="81"/>
            <x v="83"/>
            <x v="85"/>
            <x v="87"/>
            <x v="94"/>
            <x v="105"/>
            <x v="106"/>
            <x v="107"/>
            <x v="128"/>
            <x v="129"/>
            <x v="130"/>
            <x v="131"/>
            <x v="137"/>
          </reference>
        </references>
      </pivotArea>
    </format>
    <format dxfId="57">
      <pivotArea dataOnly="0" labelOnly="1" fieldPosition="0">
        <references count="1">
          <reference field="8" count="30">
            <x v="145"/>
            <x v="146"/>
            <x v="149"/>
            <x v="151"/>
            <x v="152"/>
            <x v="156"/>
            <x v="157"/>
            <x v="159"/>
            <x v="160"/>
            <x v="161"/>
            <x v="162"/>
            <x v="165"/>
            <x v="167"/>
            <x v="174"/>
            <x v="177"/>
            <x v="181"/>
            <x v="182"/>
            <x v="190"/>
            <x v="191"/>
            <x v="193"/>
            <x v="194"/>
            <x v="195"/>
            <x v="196"/>
            <x v="202"/>
            <x v="203"/>
            <x v="204"/>
            <x v="207"/>
            <x v="208"/>
            <x v="217"/>
            <x v="218"/>
          </reference>
        </references>
      </pivotArea>
    </format>
    <format dxfId="58">
      <pivotArea dataOnly="0" labelOnly="1" fieldPosition="0">
        <references count="1">
          <reference field="8" count="7">
            <x v="152"/>
            <x v="181"/>
            <x v="182"/>
            <x v="195"/>
            <x v="196"/>
            <x v="217"/>
            <x v="218"/>
          </reference>
        </references>
      </pivotArea>
    </format>
    <format dxfId="59">
      <pivotArea dataOnly="0" labelOnly="1" fieldPosition="0">
        <references count="1">
          <reference field="8" count="2">
            <x v="68"/>
            <x v="70"/>
          </reference>
        </references>
      </pivotArea>
    </format>
    <format dxfId="60">
      <pivotArea dataOnly="0" labelOnly="1" grandCol="1" outline="0" fieldPosition="0"/>
    </format>
    <format dxfId="61">
      <pivotArea dataOnly="0" labelOnly="1" fieldPosition="0">
        <references count="1">
          <reference field="8" count="17">
            <x v="2"/>
            <x v="3"/>
            <x v="9"/>
            <x v="10"/>
            <x v="11"/>
            <x v="14"/>
            <x v="19"/>
            <x v="21"/>
            <x v="22"/>
            <x v="24"/>
            <x v="28"/>
            <x v="31"/>
            <x v="32"/>
            <x v="35"/>
            <x v="36"/>
            <x v="40"/>
            <x v="41"/>
          </reference>
        </references>
      </pivotArea>
    </format>
    <format dxfId="62">
      <pivotArea dataOnly="0" labelOnly="1" fieldPosition="0">
        <references count="1">
          <reference field="8" count="2">
            <x v="59"/>
            <x v="68"/>
          </reference>
        </references>
      </pivotArea>
    </format>
    <format dxfId="63">
      <pivotArea dataOnly="0" labelOnly="1" fieldPosition="0">
        <references count="1">
          <reference field="8" count="6">
            <x v="70"/>
            <x v="81"/>
            <x v="83"/>
            <x v="85"/>
            <x v="87"/>
            <x v="94"/>
          </reference>
        </references>
      </pivotArea>
    </format>
    <format dxfId="64">
      <pivotArea dataOnly="0" labelOnly="1" fieldPosition="0">
        <references count="1">
          <reference field="8" count="3">
            <x v="105"/>
            <x v="106"/>
            <x v="107"/>
          </reference>
        </references>
      </pivotArea>
    </format>
    <format dxfId="65">
      <pivotArea dataOnly="0" labelOnly="1" fieldPosition="0">
        <references count="1">
          <reference field="8" count="7">
            <x v="128"/>
            <x v="129"/>
            <x v="130"/>
            <x v="131"/>
            <x v="137"/>
            <x v="145"/>
            <x v="146"/>
          </reference>
        </references>
      </pivotArea>
    </format>
    <format dxfId="66">
      <pivotArea dataOnly="0" labelOnly="1" fieldPosition="0">
        <references count="1">
          <reference field="8" count="15">
            <x v="149"/>
            <x v="151"/>
            <x v="152"/>
            <x v="156"/>
            <x v="157"/>
            <x v="159"/>
            <x v="160"/>
            <x v="161"/>
            <x v="162"/>
            <x v="165"/>
            <x v="167"/>
            <x v="174"/>
            <x v="177"/>
            <x v="181"/>
            <x v="182"/>
          </reference>
        </references>
      </pivotArea>
    </format>
    <format dxfId="67">
      <pivotArea dataOnly="0" labelOnly="1" fieldPosition="0">
        <references count="1">
          <reference field="8" count="13">
            <x v="190"/>
            <x v="191"/>
            <x v="193"/>
            <x v="194"/>
            <x v="195"/>
            <x v="196"/>
            <x v="202"/>
            <x v="203"/>
            <x v="204"/>
            <x v="207"/>
            <x v="208"/>
            <x v="217"/>
            <x v="218"/>
          </reference>
        </references>
      </pivotArea>
    </format>
    <format dxfId="68">
      <pivotArea dataOnly="0" labelOnly="1" fieldPosition="0">
        <references count="1">
          <reference field="8" count="10">
            <x v="41"/>
            <x v="81"/>
            <x v="83"/>
            <x v="94"/>
            <x v="107"/>
            <x v="152"/>
            <x v="181"/>
            <x v="182"/>
            <x v="195"/>
            <x v="196"/>
          </reference>
        </references>
      </pivotArea>
    </format>
    <format dxfId="69">
      <pivotArea dataOnly="0" labelOnly="1" fieldPosition="0">
        <references count="1">
          <reference field="8" count="2">
            <x v="217"/>
            <x v="218"/>
          </reference>
        </references>
      </pivotArea>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GS_ID" xr10:uid="{41FFABF5-25F7-40CE-A5C3-FDF231500131}" sourceName="WGS ID">
  <pivotTables>
    <pivotTable tabId="3" name="PivotTable1"/>
  </pivotTables>
  <data>
    <tabular pivotCacheId="1687434101">
      <items count="21">
        <i x="11" s="1" nd="1"/>
        <i x="1" s="1" nd="1"/>
        <i x="9" s="1" nd="1"/>
        <i x="19" s="1" nd="1"/>
        <i x="13" s="1" nd="1"/>
        <i x="5" s="1" nd="1"/>
        <i x="18" s="1" nd="1"/>
        <i x="12" s="1" nd="1"/>
        <i x="7" s="1" nd="1"/>
        <i x="17" s="1" nd="1"/>
        <i x="20" s="1" nd="1"/>
        <i x="3" s="1" nd="1"/>
        <i x="8" s="1" nd="1"/>
        <i x="4" s="1" nd="1"/>
        <i x="10" s="1" nd="1"/>
        <i x="2" s="1" nd="1"/>
        <i x="16" s="1" nd="1"/>
        <i x="6" s="1" nd="1"/>
        <i x="14" s="1" nd="1"/>
        <i x="15" s="1" nd="1"/>
        <i x="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edPhenotype" xr10:uid="{22BA5C7E-222C-4889-BEC9-81E916FD9141}" sourceName="expectedPhenotype">
  <pivotTables>
    <pivotTable tabId="3" name="PivotTable1"/>
  </pivotTables>
  <data>
    <tabular pivotCacheId="1687434101">
      <items count="48">
        <i x="18" s="1" nd="1"/>
        <i x="35" s="1" nd="1"/>
        <i x="21" s="1" nd="1"/>
        <i x="22" s="1" nd="1"/>
        <i x="5" s="1" nd="1"/>
        <i x="41" s="1" nd="1"/>
        <i x="23" s="1" nd="1"/>
        <i x="32" s="1" nd="1"/>
        <i x="42" s="1" nd="1"/>
        <i x="6" s="1" nd="1"/>
        <i x="30" s="1" nd="1"/>
        <i x="1" s="1" nd="1"/>
        <i x="31" s="1" nd="1"/>
        <i x="2" s="1" nd="1"/>
        <i x="7" s="1" nd="1"/>
        <i x="34" s="1" nd="1"/>
        <i x="15" s="1" nd="1"/>
        <i x="3" s="1" nd="1"/>
        <i x="24" s="1" nd="1"/>
        <i x="25" s="1" nd="1"/>
        <i x="4" s="1" nd="1"/>
        <i x="19" s="1" nd="1"/>
        <i x="17" s="1" nd="1"/>
        <i x="26" s="1" nd="1"/>
        <i x="28" s="1" nd="1"/>
        <i x="40" s="1" nd="1"/>
        <i x="12" s="1" nd="1"/>
        <i x="9" s="1" nd="1"/>
        <i x="29" s="1" nd="1"/>
        <i x="11" s="1" nd="1"/>
        <i x="37" s="1" nd="1"/>
        <i x="33" s="1" nd="1"/>
        <i x="38" s="1" nd="1"/>
        <i x="27" s="1" nd="1"/>
        <i x="36" s="1" nd="1"/>
        <i x="39" s="1" nd="1"/>
        <i x="8" s="1" nd="1"/>
        <i x="13" s="1" nd="1"/>
        <i x="14" s="1" nd="1"/>
        <i x="10" s="1" nd="1"/>
        <i x="16" s="1" nd="1"/>
        <i x="20" s="1" nd="1"/>
        <i x="45" s="1" nd="1"/>
        <i x="44" s="1" nd="1"/>
        <i x="47" s="1" nd="1"/>
        <i x="46" s="1" nd="1"/>
        <i x="43"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bapenemases" xr10:uid="{36F59E87-897B-447F-8AA5-DCBC6C3633A4}" sourceName="Carbapenemases">
  <pivotTables>
    <pivotTable tabId="3" name="PivotTable1"/>
  </pivotTables>
  <data>
    <tabular pivotCacheId="1687434101">
      <items count="22">
        <i x="21" s="1" nd="1"/>
        <i x="20" s="1" nd="1"/>
        <i x="9" s="1" nd="1"/>
        <i x="5" s="1" nd="1"/>
        <i x="4" s="1" nd="1"/>
        <i x="10" s="1" nd="1"/>
        <i x="16" s="1" nd="1"/>
        <i x="11" s="1" nd="1"/>
        <i x="2" s="1" nd="1"/>
        <i x="14" s="1" nd="1"/>
        <i x="8" s="1" nd="1"/>
        <i x="13" s="1" nd="1"/>
        <i x="15" s="1" nd="1"/>
        <i x="3" s="1" nd="1"/>
        <i x="12" s="1" nd="1"/>
        <i x="6" s="1" nd="1"/>
        <i x="7" s="1" nd="1"/>
        <i x="17" s="1" nd="1"/>
        <i x="18" s="1" nd="1"/>
        <i x="19" s="1" nd="1"/>
        <i x="1" s="1" nd="1"/>
        <i x="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ended_Spectrum_β_Lactamases__ESBLs" xr10:uid="{B5B860CF-41DE-482A-BBD3-41C079DDE92B}" sourceName="Extended-Spectrum β-Lactamases (ESBLs)">
  <pivotTables>
    <pivotTable tabId="3" name="PivotTable1"/>
  </pivotTables>
  <data>
    <tabular pivotCacheId="1687434101">
      <items count="17">
        <i x="4" s="1" nd="1"/>
        <i x="8" s="1" nd="1"/>
        <i x="2" s="1" nd="1"/>
        <i x="12" s="1" nd="1"/>
        <i x="10" s="1" nd="1"/>
        <i x="15" s="1" nd="1"/>
        <i x="9" s="1" nd="1"/>
        <i x="14" s="1" nd="1"/>
        <i x="16" s="1" nd="1"/>
        <i x="13" s="1" nd="1"/>
        <i x="6" s="1" nd="1"/>
        <i x="5" s="1" nd="1"/>
        <i x="11" s="1" nd="1"/>
        <i x="3" s="1" nd="1"/>
        <i x="7" s="1" nd="1"/>
        <i x="1" s="1" nd="1"/>
        <i x="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6S_Methyltransferases" xr10:uid="{0C1C619D-9D0D-438B-8DD4-8D7900E388F2}" sourceName="16S Methyltransferases">
  <pivotTables>
    <pivotTable tabId="3" name="PivotTable1"/>
  </pivotTables>
  <data>
    <tabular pivotCacheId="1687434101">
      <items count="7">
        <i x="1" s="1" nd="1"/>
        <i x="2" s="1" nd="1"/>
        <i x="5" s="1" nd="1"/>
        <i x="3" s="1" nd="1"/>
        <i x="6" s="1" nd="1"/>
        <i x="4" s="1" nd="1"/>
        <i x="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rulence_Determinants" xr10:uid="{0FA5D7CD-43CD-4295-925D-B8E994037EEF}" sourceName="Virulence Determinants">
  <pivotTables>
    <pivotTable tabId="3" name="PivotTable1"/>
  </pivotTables>
  <data>
    <tabular pivotCacheId="1687434101">
      <items count="16">
        <i x="10" s="1" nd="1"/>
        <i x="9" s="1" nd="1"/>
        <i x="12" s="1" nd="1"/>
        <i x="11" s="1" nd="1"/>
        <i x="1" s="1" nd="1"/>
        <i x="13" s="1" nd="1"/>
        <i x="15" s="1" nd="1"/>
        <i x="14" s="1" nd="1"/>
        <i x="6" s="1" nd="1"/>
        <i x="8" s="1" nd="1"/>
        <i x="3" s="1" nd="1"/>
        <i x="7" s="1" nd="1"/>
        <i x="2" s="1" nd="1"/>
        <i x="4" s="1" nd="1"/>
        <i x="5" s="1" nd="1"/>
        <i x="0"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 xr10:uid="{4D07DF64-4A66-4D32-B361-C8B677661C37}" sourceName="ST">
  <pivotTables>
    <pivotTable tabId="3" name="PivotTable1"/>
  </pivotTables>
  <data>
    <tabular pivotCacheId="1687434101">
      <items count="81">
        <i x="5" s="1" nd="1"/>
        <i x="20" s="1" nd="1"/>
        <i x="6" s="1" nd="1"/>
        <i x="40" s="1" nd="1"/>
        <i x="31" s="1" nd="1"/>
        <i x="59" s="1" nd="1"/>
        <i x="42" s="1" nd="1"/>
        <i x="76" s="1" nd="1"/>
        <i x="28" s="1" nd="1"/>
        <i x="71" s="1" nd="1"/>
        <i x="48" s="1" nd="1"/>
        <i x="23" s="1" nd="1"/>
        <i x="45" s="1" nd="1"/>
        <i x="15" s="1" nd="1"/>
        <i x="4" s="1" nd="1"/>
        <i x="74" s="1" nd="1"/>
        <i x="78" s="1" nd="1"/>
        <i x="16" s="1" nd="1"/>
        <i x="51" s="1" nd="1"/>
        <i x="7" s="1" nd="1"/>
        <i x="22" s="1" nd="1"/>
        <i x="79" s="1" nd="1"/>
        <i x="19" s="1" nd="1"/>
        <i x="8" s="1" nd="1"/>
        <i x="34" s="1" nd="1"/>
        <i x="1" s="1" nd="1"/>
        <i x="21" s="1" nd="1"/>
        <i x="12" s="1" nd="1"/>
        <i x="50" s="1" nd="1"/>
        <i x="68" s="1" nd="1"/>
        <i x="17" s="1" nd="1"/>
        <i x="36" s="1" nd="1"/>
        <i x="54" s="1" nd="1"/>
        <i x="14" s="1" nd="1"/>
        <i x="69" s="1" nd="1"/>
        <i x="27" s="1" nd="1"/>
        <i x="29" s="1" nd="1"/>
        <i x="41" s="1" nd="1"/>
        <i x="32" s="1" nd="1"/>
        <i x="80" s="1" nd="1"/>
        <i x="46" s="1" nd="1"/>
        <i x="25" s="1" nd="1"/>
        <i x="57" s="1" nd="1"/>
        <i x="10" s="1" nd="1"/>
        <i x="39" s="1" nd="1"/>
        <i x="72" s="1" nd="1"/>
        <i x="56" s="1" nd="1"/>
        <i x="3" s="1" nd="1"/>
        <i x="52" s="1" nd="1"/>
        <i x="77" s="1" nd="1"/>
        <i x="67" s="1" nd="1"/>
        <i x="44" s="1" nd="1"/>
        <i x="30" s="1" nd="1"/>
        <i x="13" s="1" nd="1"/>
        <i x="58" s="1" nd="1"/>
        <i x="11" s="1" nd="1"/>
        <i x="35" s="1" nd="1"/>
        <i x="38" s="1" nd="1"/>
        <i x="62" s="1" nd="1"/>
        <i x="73" s="1" nd="1"/>
        <i x="33" s="1" nd="1"/>
        <i x="60" s="1" nd="1"/>
        <i x="43" s="1" nd="1"/>
        <i x="75" s="1" nd="1"/>
        <i x="55" s="1" nd="1"/>
        <i x="53" s="1" nd="1"/>
        <i x="66" s="1" nd="1"/>
        <i x="24" s="1" nd="1"/>
        <i x="61" s="1" nd="1"/>
        <i x="26" s="1" nd="1"/>
        <i x="64" s="1" nd="1"/>
        <i x="37" s="1" nd="1"/>
        <i x="65" s="1" nd="1"/>
        <i x="2" s="1" nd="1"/>
        <i x="9" s="1" nd="1"/>
        <i x="63" s="1" nd="1"/>
        <i x="70" s="1" nd="1"/>
        <i x="49" s="1" nd="1"/>
        <i x="47" s="1" nd="1"/>
        <i x="18" s="1" nd="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Priority" xr10:uid="{B7253E4B-A34D-460B-A2B9-8304510DD3B8}" sourceName="High Priority">
  <pivotTables>
    <pivotTable tabId="3" name="PivotTable1"/>
  </pivotTables>
  <data>
    <tabular pivotCacheId="1687434101">
      <items count="3">
        <i x="2" s="1" nd="1"/>
        <i x="1" s="1" nd="1"/>
        <i x="0"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Symbol" xr10:uid="{A00964C8-8361-4A2D-A4AC-A33DDEB495BF}" sourceName="geneSymbol">
  <pivotTables>
    <pivotTable tabId="3" name="PivotTable1"/>
  </pivotTables>
  <data>
    <tabular pivotCacheId="1687434101">
      <items count="224">
        <i x="114" s="1" nd="1"/>
        <i x="67" s="1" nd="1"/>
        <i x="50" s="1" nd="1"/>
        <i x="26" s="1" nd="1"/>
        <i x="187" s="1" nd="1"/>
        <i x="166" s="1" nd="1"/>
        <i x="180" s="1" nd="1"/>
        <i x="181" s="1" nd="1"/>
        <i x="128" s="1" nd="1"/>
        <i x="62" s="1" nd="1"/>
        <i x="39" s="1" nd="1"/>
        <i x="5" s="1" nd="1"/>
        <i x="134" s="1" nd="1"/>
        <i x="55" s="1" nd="1"/>
        <i x="30" s="1" nd="1"/>
        <i x="129" s="1" nd="1"/>
        <i x="192" s="1" nd="1"/>
        <i x="73" s="1" nd="1"/>
        <i x="191" s="1" nd="1"/>
        <i x="2" s="1" nd="1"/>
        <i x="16" s="1" nd="1"/>
        <i x="158" s="1" nd="1"/>
        <i x="54" s="1" nd="1"/>
        <i x="113" s="1" nd="1"/>
        <i x="58" s="1" nd="1"/>
        <i x="88" s="1" nd="1"/>
        <i x="105" s="1" nd="1"/>
        <i x="40" s="1" nd="1"/>
        <i x="9" s="1" nd="1"/>
        <i x="155" s="1" nd="1"/>
        <i x="106" s="1" nd="1"/>
        <i x="7" s="1" nd="1"/>
        <i x="6" s="1" nd="1"/>
        <i x="19" s="1" nd="1"/>
        <i x="154" s="1" nd="1"/>
        <i x="35" s="1" nd="1"/>
        <i x="102" s="1" nd="1"/>
        <i x="68" s="1" nd="1"/>
        <i x="90" s="1" nd="1"/>
        <i x="188" s="1" nd="1"/>
        <i x="8" s="1" nd="1"/>
        <i x="1" s="1" nd="1"/>
        <i x="198" s="1" nd="1"/>
        <i x="197" s="1" nd="1"/>
        <i x="170" s="1" nd="1"/>
        <i x="208" s="1" nd="1"/>
        <i x="173" s="1" nd="1"/>
        <i x="51" s="1" nd="1"/>
        <i x="161" s="1" nd="1"/>
        <i x="162" s="1" nd="1"/>
        <i x="121" s="1" nd="1"/>
        <i x="209" s="1" nd="1"/>
        <i x="65" s="1" nd="1"/>
        <i x="103" s="1" nd="1"/>
        <i x="69" s="1" nd="1"/>
        <i x="109" s="1" nd="1"/>
        <i x="111" s="1" nd="1"/>
        <i x="143" s="1" nd="1"/>
        <i x="201" s="1" nd="1"/>
        <i x="11" s="1" nd="1"/>
        <i x="150" s="1" nd="1"/>
        <i x="61" s="1" nd="1"/>
        <i x="137" s="1" nd="1"/>
        <i x="97" s="1" nd="1"/>
        <i x="135" s="1" nd="1"/>
        <i x="141" s="1" nd="1"/>
        <i x="64" s="1" nd="1"/>
        <i x="80" s="1" nd="1"/>
        <i x="29" s="1" nd="1"/>
        <i x="163" s="1" nd="1"/>
        <i x="124" s="1" nd="1"/>
        <i x="189" s="1" nd="1"/>
        <i x="100" s="1" nd="1"/>
        <i x="184" s="1" nd="1"/>
        <i x="98" s="1" nd="1"/>
        <i x="206" s="1" nd="1"/>
        <i x="119" s="1" nd="1"/>
        <i x="107" s="1" nd="1"/>
        <i x="92" s="1" nd="1"/>
        <i x="85" s="1" nd="1"/>
        <i x="195" s="1" nd="1"/>
        <i x="87" s="1" nd="1"/>
        <i x="48" s="1" nd="1"/>
        <i x="23" s="1" nd="1"/>
        <i x="94" s="1" nd="1"/>
        <i x="31" s="1" nd="1"/>
        <i x="76" s="1" nd="1"/>
        <i x="149" s="1" nd="1"/>
        <i x="185" s="1" nd="1"/>
        <i x="164" s="1" nd="1"/>
        <i x="117" s="1" nd="1"/>
        <i x="126" s="1" nd="1"/>
        <i x="96" s="1" nd="1"/>
        <i x="175" s="1" nd="1"/>
        <i x="3" s="1" nd="1"/>
        <i x="112" s="1" nd="1"/>
        <i x="18" s="1" nd="1"/>
        <i x="183" s="1" nd="1"/>
        <i x="78" s="1" nd="1"/>
        <i x="174" s="1" nd="1"/>
        <i x="89" s="1" nd="1"/>
        <i x="144" s="1" nd="1"/>
        <i x="123" s="1" nd="1"/>
        <i x="110" s="1" nd="1"/>
        <i x="142" s="1" nd="1"/>
        <i x="4" s="1" nd="1"/>
        <i x="108" s="1" nd="1"/>
        <i x="59" s="1" nd="1"/>
        <i x="72" s="1" nd="1"/>
        <i x="138" s="1" nd="1"/>
        <i x="93" s="1" nd="1"/>
        <i x="60" s="1" nd="1"/>
        <i x="204" s="1" nd="1"/>
        <i x="169" s="1" nd="1"/>
        <i x="152" s="1" nd="1"/>
        <i x="139" s="1" nd="1"/>
        <i x="74" s="1" nd="1"/>
        <i x="56" s="1" nd="1"/>
        <i x="21" s="1" nd="1"/>
        <i x="165" s="1" nd="1"/>
        <i x="146" s="1" nd="1"/>
        <i x="91" s="1" nd="1"/>
        <i x="203" s="1" nd="1"/>
        <i x="145" s="1" nd="1"/>
        <i x="118" s="1" nd="1"/>
        <i x="122" s="1" nd="1"/>
        <i x="70" s="1" nd="1"/>
        <i x="66" s="1" nd="1"/>
        <i x="47" s="1" nd="1"/>
        <i x="79" s="1" nd="1"/>
        <i x="157" s="1" nd="1"/>
        <i x="27" s="1" nd="1"/>
        <i x="160" s="1" nd="1"/>
        <i x="207" s="1" nd="1"/>
        <i x="205" s="1" nd="1"/>
        <i x="202" s="1" nd="1"/>
        <i x="167" s="1" nd="1"/>
        <i x="28" s="1" nd="1"/>
        <i x="41" s="1" nd="1"/>
        <i x="75" s="1" nd="1"/>
        <i x="176" s="1" nd="1"/>
        <i x="182" s="1" nd="1"/>
        <i x="193" s="1" nd="1"/>
        <i x="84" s="1" nd="1"/>
        <i x="45" s="1" nd="1"/>
        <i x="44" s="1" nd="1"/>
        <i x="101" s="1" nd="1"/>
        <i x="116" s="1" nd="1"/>
        <i x="49" s="1" nd="1"/>
        <i x="125" s="1" nd="1"/>
        <i x="25" s="1" nd="1"/>
        <i x="14" s="1" nd="1"/>
        <i x="218" s="1" nd="1"/>
        <i x="217" s="1" nd="1"/>
        <i x="140" s="1" nd="1"/>
        <i x="71" s="1" nd="1"/>
        <i x="10" s="1" nd="1"/>
        <i x="43" s="1" nd="1"/>
        <i x="115" s="1" nd="1"/>
        <i x="99" s="1" nd="1"/>
        <i x="34" s="1" nd="1"/>
        <i x="120" s="1" nd="1"/>
        <i x="159" s="1" nd="1"/>
        <i x="190" s="1" nd="1"/>
        <i x="196" s="1" nd="1"/>
        <i x="136" s="1" nd="1"/>
        <i x="37" s="1" nd="1"/>
        <i x="38" s="1" nd="1"/>
        <i x="53" s="1" nd="1"/>
        <i x="147" s="1" nd="1"/>
        <i x="77" s="1" nd="1"/>
        <i x="172" s="1" nd="1"/>
        <i x="131" s="1" nd="1"/>
        <i x="148" s="1" nd="1"/>
        <i x="63" s="1" nd="1"/>
        <i x="20" s="1" nd="1"/>
        <i x="151" s="1" nd="1"/>
        <i x="17" s="1" nd="1"/>
        <i x="104" s="1" nd="1"/>
        <i x="153" s="1" nd="1"/>
        <i x="199" s="1" nd="1"/>
        <i x="220" s="1" nd="1"/>
        <i x="219" s="1" nd="1"/>
        <i x="83" s="1" nd="1"/>
        <i x="171" s="1" nd="1"/>
        <i x="82" s="1" nd="1"/>
        <i x="130" s="1" nd="1"/>
        <i x="177" s="1" nd="1"/>
        <i x="178" s="1" nd="1"/>
        <i x="132" s="1" nd="1"/>
        <i x="32" s="1" nd="1"/>
        <i x="186" s="1" nd="1"/>
        <i x="81" s="1" nd="1"/>
        <i x="36" s="1" nd="1"/>
        <i x="22" s="1" nd="1"/>
        <i x="221" s="1" nd="1"/>
        <i x="223" s="1" nd="1"/>
        <i x="222" s="1" nd="1"/>
        <i x="95" s="1" nd="1"/>
        <i x="15" s="1" nd="1"/>
        <i x="133" s="1" nd="1"/>
        <i x="46" s="1" nd="1"/>
        <i x="12" s="1" nd="1"/>
        <i x="13" s="1" nd="1"/>
        <i x="194" s="1" nd="1"/>
        <i x="86" s="1" nd="1"/>
        <i x="168" s="1" nd="1"/>
        <i x="33" s="1" nd="1"/>
        <i x="52" s="1" nd="1"/>
        <i x="57" s="1" nd="1"/>
        <i x="24" s="1" nd="1"/>
        <i x="42" s="1" nd="1"/>
        <i x="200" s="1" nd="1"/>
        <i x="179" s="1" nd="1"/>
        <i x="156" s="1" nd="1"/>
        <i x="127" s="1" nd="1"/>
        <i x="214" s="1" nd="1"/>
        <i x="216" s="1" nd="1"/>
        <i x="211" s="1" nd="1"/>
        <i x="215" s="1" nd="1"/>
        <i x="210" s="1" nd="1"/>
        <i x="212" s="1" nd="1"/>
        <i x="213" s="1" nd="1"/>
        <i x="0"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88833C06-EC9C-453A-92FB-F58D2B06BF12}" sourceName="Hospital">
  <pivotTables>
    <pivotTable tabId="3" name="PivotTable1"/>
  </pivotTables>
  <data>
    <tabular pivotCacheId="1687434101">
      <items count="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GS ID" xr10:uid="{856DD205-1357-4A70-A785-278AFC596C5B}" cache="Slicer_WGS_ID" caption="WGS ID" style="SlicerStyleLight6" rowHeight="241300"/>
  <slicer name="All Expected Phenotype" xr10:uid="{99EF2176-F6E6-440D-9E30-A31786BA6625}" cache="Slicer_expectedPhenotype" caption="Expected Phenotype" style="SlicerStyleLight6" rowHeight="241300"/>
  <slicer name="Carbapenemases" xr10:uid="{F01261BE-E049-42CA-93E3-5DCBF9546A97}" cache="Slicer_Carbapenemases" caption="Carbapenemases" style="SlicerStyleLight6" rowHeight="241300"/>
  <slicer name="Extended-Spectrum β-Lactamases (ESBLs)" xr10:uid="{93FC7B6B-ECE8-406C-9199-ECEB3FD26F18}" cache="Slicer_Extended_Spectrum_β_Lactamases__ESBLs" caption="Extended-Spectrum β-Lactamases (ESBLs)" style="SlicerStyleLight6" rowHeight="241300"/>
  <slicer name="16S Methyltransferases" xr10:uid="{0AFAAABB-DAC2-4BD8-990C-6971ACDF84D7}" cache="Slicer_16S_Methyltransferases" caption="16S Methyltransferases" style="SlicerStyleLight6" rowHeight="241300"/>
  <slicer name="Virulence Determinants" xr10:uid="{3A7D64D7-45A5-4802-BA75-25184C6A087F}" cache="Slicer_Virulence_Determinants" caption="Virulence Determinants" style="SlicerStyleLight6" rowHeight="241300"/>
  <slicer name="MLST" xr10:uid="{2E579923-E3DE-4FB4-A290-EBEBC6AB8CF5}" cache="Slicer_ST" caption="MLST" style="SlicerStyleLight6" rowHeight="241300"/>
  <slicer name="High Priority" xr10:uid="{122F5758-5162-424D-8B63-67A2C1F33061}" cache="Slicer_High_Priority" caption="High Priority" style="SlicerStyleLight6" rowHeight="241300"/>
  <slicer name="All AMR/Virulence Genes" xr10:uid="{2AFB064D-4BA1-43F9-A380-592321DE2A94}" cache="Slicer_geneSymbol" caption="All AMR/Virulence Genes" style="SlicerStyleLight6" rowHeight="241300"/>
  <slicer name="Hospital" xr10:uid="{0AC13976-21C7-45F3-A548-EB5513A5838E}" cache="Slicer_Hospital" caption="Hospital"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6B2F-239C-4496-BA2B-A6A3B94E89EE}">
  <dimension ref="A18:C23"/>
  <sheetViews>
    <sheetView tabSelected="1" zoomScale="85" zoomScaleNormal="85" workbookViewId="0">
      <selection activeCell="L31" sqref="L31"/>
    </sheetView>
  </sheetViews>
  <sheetFormatPr defaultRowHeight="15" x14ac:dyDescent="0.25"/>
  <cols>
    <col min="1" max="1" width="14" bestFit="1" customWidth="1"/>
    <col min="2" max="2" width="16.28515625" bestFit="1" customWidth="1"/>
    <col min="3" max="3" width="11.28515625" bestFit="1" customWidth="1"/>
    <col min="4" max="5" width="9.5703125" bestFit="1" customWidth="1"/>
    <col min="6" max="6" width="9.42578125" bestFit="1" customWidth="1"/>
    <col min="7" max="7" width="6.5703125" bestFit="1" customWidth="1"/>
    <col min="8" max="9" width="10.42578125" bestFit="1" customWidth="1"/>
    <col min="10" max="10" width="7.85546875" bestFit="1" customWidth="1"/>
    <col min="11" max="11" width="10.5703125" bestFit="1" customWidth="1"/>
    <col min="12" max="12" width="9.5703125" bestFit="1" customWidth="1"/>
    <col min="13" max="13" width="10.140625" bestFit="1" customWidth="1"/>
    <col min="14" max="15" width="10" bestFit="1" customWidth="1"/>
    <col min="16" max="16" width="13" bestFit="1" customWidth="1"/>
    <col min="17" max="17" width="18.85546875" bestFit="1" customWidth="1"/>
    <col min="18" max="18" width="9.42578125" bestFit="1" customWidth="1"/>
    <col min="19" max="19" width="8.28515625" bestFit="1" customWidth="1"/>
    <col min="20" max="21" width="7.140625" bestFit="1" customWidth="1"/>
    <col min="22" max="22" width="7.42578125" bestFit="1" customWidth="1"/>
    <col min="23" max="23" width="8.140625" bestFit="1" customWidth="1"/>
    <col min="24" max="24" width="7.140625" bestFit="1" customWidth="1"/>
    <col min="25" max="25" width="7.42578125" bestFit="1" customWidth="1"/>
    <col min="26" max="26" width="7.140625" bestFit="1" customWidth="1"/>
    <col min="27" max="28" width="6.42578125" bestFit="1" customWidth="1"/>
    <col min="29" max="29" width="9.42578125" bestFit="1" customWidth="1"/>
    <col min="30" max="30" width="10.42578125" bestFit="1" customWidth="1"/>
    <col min="31" max="32" width="8.28515625" bestFit="1" customWidth="1"/>
    <col min="33" max="33" width="9.85546875" bestFit="1" customWidth="1"/>
    <col min="34" max="34" width="10.28515625" bestFit="1" customWidth="1"/>
    <col min="35" max="35" width="9.85546875" bestFit="1" customWidth="1"/>
    <col min="36" max="36" width="10.28515625" bestFit="1" customWidth="1"/>
    <col min="37" max="37" width="9.85546875" bestFit="1" customWidth="1"/>
    <col min="38" max="38" width="11" bestFit="1" customWidth="1"/>
    <col min="39" max="39" width="10.42578125" bestFit="1" customWidth="1"/>
    <col min="40" max="40" width="10" bestFit="1" customWidth="1"/>
    <col min="41" max="41" width="8.7109375" bestFit="1" customWidth="1"/>
    <col min="42" max="42" width="9.42578125" bestFit="1" customWidth="1"/>
    <col min="43" max="43" width="6.42578125" bestFit="1" customWidth="1"/>
    <col min="44" max="44" width="3.5703125" bestFit="1" customWidth="1"/>
    <col min="45" max="45" width="4.5703125" bestFit="1" customWidth="1"/>
    <col min="46" max="53" width="9.5703125" bestFit="1" customWidth="1"/>
    <col min="54" max="58" width="10.85546875" bestFit="1" customWidth="1"/>
    <col min="59" max="59" width="9.85546875" bestFit="1" customWidth="1"/>
    <col min="60" max="60" width="10.85546875" bestFit="1" customWidth="1"/>
    <col min="61" max="61" width="10.42578125" bestFit="1" customWidth="1"/>
    <col min="62" max="63" width="10.85546875" bestFit="1" customWidth="1"/>
    <col min="64" max="64" width="8.85546875" bestFit="1" customWidth="1"/>
    <col min="65" max="65" width="11.140625" bestFit="1" customWidth="1"/>
    <col min="66" max="67" width="10.140625" bestFit="1" customWidth="1"/>
    <col min="68" max="69" width="13" bestFit="1" customWidth="1"/>
    <col min="70" max="70" width="12.5703125" bestFit="1" customWidth="1"/>
    <col min="71" max="71" width="11.85546875" bestFit="1" customWidth="1"/>
    <col min="72" max="72" width="12.5703125" bestFit="1" customWidth="1"/>
    <col min="73" max="73" width="11.85546875" bestFit="1" customWidth="1"/>
    <col min="74" max="74" width="9" bestFit="1" customWidth="1"/>
    <col min="75" max="75" width="5.5703125" bestFit="1" customWidth="1"/>
    <col min="76" max="77" width="8.28515625" bestFit="1" customWidth="1"/>
    <col min="78" max="79" width="7.28515625" bestFit="1" customWidth="1"/>
    <col min="80" max="80" width="9.5703125" bestFit="1" customWidth="1"/>
    <col min="81" max="81" width="4" bestFit="1" customWidth="1"/>
    <col min="82" max="82" width="8.7109375" bestFit="1" customWidth="1"/>
    <col min="83" max="83" width="9.28515625" bestFit="1" customWidth="1"/>
    <col min="84" max="84" width="8.5703125" bestFit="1" customWidth="1"/>
    <col min="85" max="85" width="10.42578125" bestFit="1" customWidth="1"/>
    <col min="86" max="87" width="9.7109375" bestFit="1" customWidth="1"/>
    <col min="88" max="88" width="10.140625" bestFit="1" customWidth="1"/>
    <col min="89" max="89" width="11.7109375" bestFit="1" customWidth="1"/>
    <col min="90" max="92" width="12.140625" bestFit="1" customWidth="1"/>
    <col min="93" max="93" width="11.7109375" bestFit="1" customWidth="1"/>
    <col min="94" max="94" width="12.140625" bestFit="1" customWidth="1"/>
    <col min="95" max="95" width="10.140625" bestFit="1" customWidth="1"/>
    <col min="96" max="96" width="10.85546875" bestFit="1" customWidth="1"/>
    <col min="97" max="99" width="11.140625" bestFit="1" customWidth="1"/>
    <col min="100" max="100" width="10.140625" bestFit="1" customWidth="1"/>
    <col min="101" max="103" width="11.140625" bestFit="1" customWidth="1"/>
    <col min="104" max="104" width="10.140625" bestFit="1" customWidth="1"/>
    <col min="105" max="105" width="11.140625" bestFit="1" customWidth="1"/>
    <col min="106" max="106" width="10.140625" bestFit="1" customWidth="1"/>
    <col min="107" max="109" width="10.85546875" bestFit="1" customWidth="1"/>
    <col min="110" max="111" width="11.140625" bestFit="1" customWidth="1"/>
    <col min="112" max="112" width="9" bestFit="1" customWidth="1"/>
    <col min="113" max="113" width="10.140625" bestFit="1" customWidth="1"/>
    <col min="114" max="115" width="10.42578125" bestFit="1" customWidth="1"/>
    <col min="116" max="116" width="6.7109375" bestFit="1" customWidth="1"/>
    <col min="117" max="117" width="8.7109375" bestFit="1" customWidth="1"/>
    <col min="118" max="118" width="9.7109375" bestFit="1" customWidth="1"/>
    <col min="119" max="119" width="10.85546875" bestFit="1" customWidth="1"/>
    <col min="120" max="120" width="9.7109375" bestFit="1" customWidth="1"/>
    <col min="121" max="121" width="8.7109375" bestFit="1" customWidth="1"/>
    <col min="122" max="124" width="9.7109375" bestFit="1" customWidth="1"/>
    <col min="125" max="125" width="8.7109375" bestFit="1" customWidth="1"/>
    <col min="126" max="127" width="9.7109375" bestFit="1" customWidth="1"/>
    <col min="128" max="129" width="8.5703125" bestFit="1" customWidth="1"/>
    <col min="130" max="130" width="9.28515625" bestFit="1" customWidth="1"/>
    <col min="131" max="133" width="10.28515625" bestFit="1" customWidth="1"/>
    <col min="134" max="134" width="8.7109375" bestFit="1" customWidth="1"/>
    <col min="135" max="135" width="9.7109375" bestFit="1" customWidth="1"/>
    <col min="136" max="136" width="6.7109375" bestFit="1" customWidth="1"/>
    <col min="137" max="138" width="8.42578125" bestFit="1" customWidth="1"/>
    <col min="139" max="139" width="9.7109375" bestFit="1" customWidth="1"/>
    <col min="140" max="141" width="8.5703125" bestFit="1" customWidth="1"/>
    <col min="142" max="144" width="8.7109375" bestFit="1" customWidth="1"/>
    <col min="145" max="145" width="4.5703125" bestFit="1" customWidth="1"/>
    <col min="146" max="146" width="4.85546875" bestFit="1" customWidth="1"/>
    <col min="147" max="148" width="6.5703125" bestFit="1" customWidth="1"/>
    <col min="149" max="149" width="5.85546875" bestFit="1" customWidth="1"/>
    <col min="150" max="150" width="4.5703125" bestFit="1" customWidth="1"/>
    <col min="151" max="151" width="6.5703125" bestFit="1" customWidth="1"/>
    <col min="152" max="152" width="5.7109375" bestFit="1" customWidth="1"/>
    <col min="153" max="153" width="6.5703125" bestFit="1" customWidth="1"/>
    <col min="154" max="154" width="5.140625" bestFit="1" customWidth="1"/>
    <col min="155" max="156" width="4.42578125" bestFit="1" customWidth="1"/>
    <col min="157" max="157" width="4.85546875" bestFit="1" customWidth="1"/>
    <col min="158" max="158" width="5.42578125" bestFit="1" customWidth="1"/>
    <col min="159" max="159" width="6.42578125" bestFit="1" customWidth="1"/>
    <col min="160" max="160" width="6.7109375" bestFit="1" customWidth="1"/>
    <col min="161" max="164" width="7.42578125" bestFit="1" customWidth="1"/>
    <col min="165" max="166" width="6.7109375" bestFit="1" customWidth="1"/>
    <col min="167" max="167" width="7.42578125" bestFit="1" customWidth="1"/>
    <col min="168" max="168" width="5.7109375" bestFit="1" customWidth="1"/>
    <col min="169" max="169" width="7.42578125" bestFit="1" customWidth="1"/>
    <col min="170" max="170" width="6.7109375" bestFit="1" customWidth="1"/>
    <col min="171" max="171" width="5.7109375" bestFit="1" customWidth="1"/>
    <col min="172" max="172" width="5.5703125" bestFit="1" customWidth="1"/>
    <col min="173" max="173" width="4.42578125" bestFit="1" customWidth="1"/>
    <col min="174" max="174" width="4.5703125" bestFit="1" customWidth="1"/>
    <col min="175" max="175" width="5.42578125" bestFit="1" customWidth="1"/>
    <col min="176" max="176" width="5" bestFit="1" customWidth="1"/>
    <col min="177" max="177" width="5.42578125" bestFit="1" customWidth="1"/>
    <col min="178" max="178" width="3.42578125" bestFit="1" customWidth="1"/>
    <col min="179" max="179" width="5.42578125" bestFit="1" customWidth="1"/>
    <col min="180" max="181" width="4.5703125" bestFit="1" customWidth="1"/>
    <col min="182" max="182" width="4.42578125" bestFit="1" customWidth="1"/>
    <col min="183" max="183" width="5" bestFit="1" customWidth="1"/>
    <col min="184" max="184" width="5.140625" bestFit="1" customWidth="1"/>
    <col min="185" max="185" width="4.85546875" bestFit="1" customWidth="1"/>
    <col min="186" max="187" width="5.7109375" bestFit="1" customWidth="1"/>
    <col min="188" max="188" width="6.7109375" bestFit="1" customWidth="1"/>
    <col min="189" max="189" width="5.140625" bestFit="1" customWidth="1"/>
    <col min="190" max="190" width="5" bestFit="1" customWidth="1"/>
    <col min="191" max="191" width="6.140625" bestFit="1" customWidth="1"/>
    <col min="192" max="192" width="6.5703125" bestFit="1" customWidth="1"/>
    <col min="193" max="193" width="7.5703125" bestFit="1" customWidth="1"/>
    <col min="194" max="194" width="6.140625" bestFit="1" customWidth="1"/>
    <col min="195" max="195" width="6.42578125" bestFit="1" customWidth="1"/>
    <col min="196" max="196" width="7.5703125" bestFit="1" customWidth="1"/>
    <col min="197" max="197" width="6.140625" bestFit="1" customWidth="1"/>
    <col min="198" max="198" width="7.42578125" bestFit="1" customWidth="1"/>
    <col min="199" max="199" width="12.7109375" bestFit="1" customWidth="1"/>
    <col min="200" max="201" width="6.140625" bestFit="1" customWidth="1"/>
    <col min="202" max="202" width="5.140625" bestFit="1" customWidth="1"/>
    <col min="203" max="203" width="6" bestFit="1" customWidth="1"/>
    <col min="204" max="206" width="5" bestFit="1" customWidth="1"/>
    <col min="207" max="209" width="6.7109375" bestFit="1" customWidth="1"/>
    <col min="210" max="210" width="6.5703125" bestFit="1" customWidth="1"/>
    <col min="211" max="211" width="5.7109375" bestFit="1" customWidth="1"/>
    <col min="212" max="212" width="6" bestFit="1" customWidth="1"/>
    <col min="213" max="213" width="5.42578125" bestFit="1" customWidth="1"/>
    <col min="214" max="214" width="5.85546875" bestFit="1" customWidth="1"/>
    <col min="215" max="215" width="5.5703125" bestFit="1" customWidth="1"/>
    <col min="216" max="216" width="6.5703125" bestFit="1" customWidth="1"/>
    <col min="217" max="217" width="5.42578125" bestFit="1" customWidth="1"/>
    <col min="218" max="218" width="4.85546875" bestFit="1" customWidth="1"/>
    <col min="219" max="219" width="5.42578125" bestFit="1" customWidth="1"/>
    <col min="220" max="220" width="6.5703125" bestFit="1" customWidth="1"/>
    <col min="221" max="222" width="5.85546875" bestFit="1" customWidth="1"/>
    <col min="223" max="223" width="4.85546875" bestFit="1" customWidth="1"/>
    <col min="224" max="224" width="12.140625" bestFit="1" customWidth="1"/>
    <col min="225" max="225" width="11.140625" bestFit="1" customWidth="1"/>
    <col min="226" max="226" width="11.28515625" bestFit="1" customWidth="1"/>
    <col min="227" max="228" width="11.7109375" bestFit="1" customWidth="1"/>
    <col min="229" max="233" width="10.7109375" bestFit="1" customWidth="1"/>
    <col min="234" max="234" width="9.7109375" bestFit="1" customWidth="1"/>
    <col min="235" max="237" width="10.7109375" bestFit="1" customWidth="1"/>
    <col min="238" max="238" width="10" bestFit="1" customWidth="1"/>
    <col min="239" max="241" width="12" bestFit="1" customWidth="1"/>
    <col min="242" max="242" width="11" bestFit="1" customWidth="1"/>
    <col min="243" max="243" width="12" bestFit="1" customWidth="1"/>
    <col min="244" max="246" width="11" bestFit="1" customWidth="1"/>
    <col min="247" max="247" width="9.85546875" bestFit="1" customWidth="1"/>
    <col min="248" max="248" width="5.42578125" bestFit="1" customWidth="1"/>
    <col min="249" max="249" width="5.5703125" bestFit="1" customWidth="1"/>
    <col min="250" max="251" width="6.5703125" bestFit="1" customWidth="1"/>
    <col min="252" max="252" width="5.42578125" bestFit="1" customWidth="1"/>
    <col min="253" max="253" width="7.42578125" bestFit="1" customWidth="1"/>
    <col min="254" max="256" width="6.42578125" bestFit="1" customWidth="1"/>
    <col min="257" max="257" width="5.140625" bestFit="1" customWidth="1"/>
    <col min="258" max="258" width="5.42578125" bestFit="1" customWidth="1"/>
    <col min="259" max="259" width="5.5703125" bestFit="1" customWidth="1"/>
    <col min="260" max="260" width="6.42578125" bestFit="1" customWidth="1"/>
    <col min="261" max="270" width="7.42578125" bestFit="1" customWidth="1"/>
    <col min="271" max="271" width="6.42578125" bestFit="1" customWidth="1"/>
    <col min="272" max="273" width="7.42578125" bestFit="1" customWidth="1"/>
    <col min="274" max="275" width="6.42578125" bestFit="1" customWidth="1"/>
    <col min="276" max="277" width="6.28515625" bestFit="1" customWidth="1"/>
    <col min="278" max="278" width="5.140625" bestFit="1" customWidth="1"/>
    <col min="279" max="279" width="5.5703125" bestFit="1" customWidth="1"/>
    <col min="280" max="280" width="6.140625" bestFit="1" customWidth="1"/>
    <col min="281" max="281" width="5.5703125" bestFit="1" customWidth="1"/>
    <col min="282" max="282" width="5.140625" bestFit="1" customWidth="1"/>
    <col min="283" max="283" width="6.140625" bestFit="1" customWidth="1"/>
    <col min="284" max="284" width="4.28515625" bestFit="1" customWidth="1"/>
    <col min="285" max="285" width="5.5703125" bestFit="1" customWidth="1"/>
    <col min="286" max="286" width="5.42578125" bestFit="1" customWidth="1"/>
    <col min="287" max="287" width="6.42578125" bestFit="1" customWidth="1"/>
    <col min="288" max="288" width="5" bestFit="1" customWidth="1"/>
    <col min="289" max="290" width="5.140625" bestFit="1" customWidth="1"/>
    <col min="291" max="291" width="5.5703125" bestFit="1" customWidth="1"/>
    <col min="292" max="292" width="6.5703125" bestFit="1" customWidth="1"/>
    <col min="293" max="295" width="8.140625" bestFit="1" customWidth="1"/>
    <col min="296" max="296" width="6.42578125" bestFit="1" customWidth="1"/>
    <col min="297" max="297" width="7.5703125" bestFit="1" customWidth="1"/>
    <col min="298" max="298" width="6.7109375" bestFit="1" customWidth="1"/>
    <col min="299" max="299" width="6.85546875" bestFit="1" customWidth="1"/>
    <col min="300" max="300" width="5.28515625" bestFit="1" customWidth="1"/>
    <col min="301" max="301" width="6.85546875" bestFit="1" customWidth="1"/>
    <col min="302" max="302" width="6.7109375" bestFit="1" customWidth="1"/>
    <col min="303" max="303" width="7.7109375" bestFit="1" customWidth="1"/>
    <col min="304" max="306" width="6.7109375" bestFit="1" customWidth="1"/>
    <col min="307" max="307" width="7.7109375" bestFit="1" customWidth="1"/>
    <col min="308" max="309" width="6.5703125" bestFit="1" customWidth="1"/>
    <col min="310" max="310" width="8" bestFit="1" customWidth="1"/>
    <col min="311" max="311" width="6.140625" bestFit="1" customWidth="1"/>
    <col min="312" max="312" width="7.42578125" bestFit="1" customWidth="1"/>
    <col min="313" max="314" width="6.85546875" bestFit="1" customWidth="1"/>
    <col min="315" max="315" width="5.85546875" bestFit="1" customWidth="1"/>
    <col min="316" max="316" width="6.7109375" bestFit="1" customWidth="1"/>
    <col min="317" max="317" width="6.140625" bestFit="1" customWidth="1"/>
    <col min="318" max="321" width="5.140625" bestFit="1" customWidth="1"/>
    <col min="322" max="323" width="7.42578125" bestFit="1" customWidth="1"/>
    <col min="324" max="324" width="6.7109375" bestFit="1" customWidth="1"/>
    <col min="325" max="326" width="6.5703125" bestFit="1" customWidth="1"/>
    <col min="327" max="327" width="6.7109375" bestFit="1" customWidth="1"/>
    <col min="328" max="328" width="6.85546875" bestFit="1" customWidth="1"/>
    <col min="329" max="329" width="6.5703125" bestFit="1" customWidth="1"/>
    <col min="330" max="330" width="6.28515625" bestFit="1" customWidth="1"/>
    <col min="331" max="331" width="7.28515625" bestFit="1" customWidth="1"/>
    <col min="332" max="332" width="7.5703125" bestFit="1" customWidth="1"/>
    <col min="333" max="333" width="8.140625" bestFit="1" customWidth="1"/>
    <col min="334" max="334" width="8.28515625" bestFit="1" customWidth="1"/>
    <col min="335" max="335" width="7" bestFit="1" customWidth="1"/>
    <col min="336" max="336" width="6.140625" bestFit="1" customWidth="1"/>
    <col min="337" max="337" width="5.42578125" bestFit="1" customWidth="1"/>
    <col min="338" max="346" width="6.42578125" bestFit="1" customWidth="1"/>
    <col min="347" max="347" width="5.42578125" bestFit="1" customWidth="1"/>
    <col min="348" max="348" width="12.7109375" bestFit="1" customWidth="1"/>
    <col min="349" max="349" width="11.28515625" bestFit="1" customWidth="1"/>
  </cols>
  <sheetData>
    <row r="18" spans="1:3" x14ac:dyDescent="0.25">
      <c r="A18" s="1" t="s">
        <v>22</v>
      </c>
      <c r="B18" s="1" t="s">
        <v>12</v>
      </c>
    </row>
    <row r="19" spans="1:3" x14ac:dyDescent="0.25">
      <c r="A19" s="1" t="s">
        <v>11</v>
      </c>
      <c r="B19" t="s">
        <v>25</v>
      </c>
      <c r="C19" s="6" t="s">
        <v>10</v>
      </c>
    </row>
    <row r="20" spans="1:3" x14ac:dyDescent="0.25">
      <c r="A20" s="2" t="s">
        <v>25</v>
      </c>
      <c r="B20" s="5"/>
      <c r="C20" s="5"/>
    </row>
    <row r="21" spans="1:3" x14ac:dyDescent="0.25">
      <c r="A21" s="3" t="s">
        <v>25</v>
      </c>
      <c r="B21" s="5"/>
      <c r="C21" s="5"/>
    </row>
    <row r="22" spans="1:3" x14ac:dyDescent="0.25">
      <c r="A22" s="4" t="s">
        <v>25</v>
      </c>
      <c r="B22" s="5"/>
      <c r="C22" s="5"/>
    </row>
    <row r="23" spans="1:3" x14ac:dyDescent="0.25">
      <c r="A23" s="2" t="s">
        <v>10</v>
      </c>
      <c r="B23" s="5"/>
      <c r="C23" s="5"/>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3143-047B-4123-BDFB-C76288CC2315}">
  <dimension ref="A1:V1"/>
  <sheetViews>
    <sheetView zoomScale="110" zoomScaleNormal="110" workbookViewId="0">
      <pane ySplit="1" topLeftCell="A2" activePane="bottomLeft" state="frozen"/>
      <selection activeCell="D1" sqref="D1"/>
      <selection pane="bottomLeft" activeCell="C4" sqref="C4"/>
    </sheetView>
  </sheetViews>
  <sheetFormatPr defaultRowHeight="15" x14ac:dyDescent="0.25"/>
  <cols>
    <col min="1" max="1" width="9.140625" bestFit="1" customWidth="1"/>
    <col min="2" max="2" width="24" customWidth="1"/>
    <col min="3" max="3" width="22" customWidth="1"/>
    <col min="4" max="4" width="29" customWidth="1"/>
    <col min="5" max="6" width="13" customWidth="1"/>
    <col min="7" max="7" width="17" customWidth="1"/>
    <col min="8" max="8" width="15" customWidth="1"/>
    <col min="9" max="9" width="24" customWidth="1"/>
    <col min="10" max="10" width="17" customWidth="1"/>
    <col min="11" max="11" width="63" customWidth="1"/>
    <col min="12" max="12" width="11" customWidth="1"/>
    <col min="13" max="13" width="16" customWidth="1"/>
    <col min="14" max="15" width="34" customWidth="1"/>
    <col min="16" max="16" width="108" customWidth="1"/>
    <col min="17" max="17" width="9" customWidth="1"/>
    <col min="18" max="18" width="11" customWidth="1"/>
    <col min="19" max="19" width="16" customWidth="1"/>
    <col min="20" max="20" width="40" customWidth="1"/>
    <col min="21" max="22" width="24" customWidth="1"/>
  </cols>
  <sheetData>
    <row r="1" spans="1:22" x14ac:dyDescent="0.25">
      <c r="A1" t="s">
        <v>0</v>
      </c>
      <c r="B1" t="s">
        <v>9</v>
      </c>
      <c r="C1" t="s">
        <v>26</v>
      </c>
      <c r="D1" t="s">
        <v>8</v>
      </c>
      <c r="E1" t="s">
        <v>16</v>
      </c>
      <c r="F1" t="s">
        <v>17</v>
      </c>
      <c r="G1" t="s">
        <v>1</v>
      </c>
      <c r="H1" t="s">
        <v>21</v>
      </c>
      <c r="I1" t="s">
        <v>3</v>
      </c>
      <c r="J1" t="s">
        <v>4</v>
      </c>
      <c r="K1" t="s">
        <v>5</v>
      </c>
      <c r="L1" t="s">
        <v>2</v>
      </c>
      <c r="M1" t="s">
        <v>23</v>
      </c>
      <c r="N1" t="s">
        <v>7</v>
      </c>
      <c r="O1" t="s">
        <v>6</v>
      </c>
      <c r="P1" t="s">
        <v>18</v>
      </c>
      <c r="Q1" t="s">
        <v>19</v>
      </c>
      <c r="R1" t="s">
        <v>24</v>
      </c>
      <c r="S1" t="s">
        <v>13</v>
      </c>
      <c r="T1" t="s">
        <v>20</v>
      </c>
      <c r="U1" t="s">
        <v>14</v>
      </c>
      <c r="V1" t="s">
        <v>15</v>
      </c>
    </row>
  </sheetData>
  <autoFilter ref="A1:W13835" xr:uid="{B0CC3143-047B-4123-BDFB-C76288CC2315}"/>
  <phoneticPr fontId="1" type="noConversion"/>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76a3f6ad-3d9b-49ad-9486-10bfd8fef73e}"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Searchable AMR Table</vt:lpstr>
      <vt:lpstr>Raw Data</vt:lpstr>
    </vt:vector>
  </TitlesOfParts>
  <Company>Defense Health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Sapre, Anjali P CTR USARMY (USA)</dc:creator>
  <cp:lastModifiedBy>Nguyen, Emily T CTR (USA)</cp:lastModifiedBy>
  <dcterms:created xsi:type="dcterms:W3CDTF">2024-04-05T18:03:51Z</dcterms:created>
  <dcterms:modified xsi:type="dcterms:W3CDTF">2026-06-25T19:20:53Z</dcterms:modified>
</cp:coreProperties>
</file>